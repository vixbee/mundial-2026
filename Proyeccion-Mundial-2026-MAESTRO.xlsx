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Partidos A-L" sheetId="2" state="visible" r:id="rId4"/>
    <sheet name="Avance Montecarlo" sheetId="3" state="visible" r:id="rId5"/>
    <sheet name="Gráficos avance" sheetId="4" state="visible" r:id="rId6"/>
    <sheet name="Cuadro R32" sheetId="5" state="visible" r:id="rId7"/>
    <sheet name="Camino a la final" sheetId="6" state="visible" r:id="rId8"/>
    <sheet name="Favoritos" sheetId="7" state="visible" r:id="rId9"/>
  </sheets>
  <definedNames>
    <definedName function="false" hidden="true" localSheetId="2" name="_xlnm._FilterDatabase" vbProcedure="false">'Avance Montecarlo'!$A$3:$G$51</definedName>
    <definedName function="false" hidden="true" localSheetId="5" name="_xlnm._FilterDatabase" vbProcedure="false">'Camino a la final'!$A$3:$I$51</definedName>
    <definedName function="false" hidden="true" localSheetId="1" name="_xlnm._FilterDatabase" vbProcedure="false">'Partidos A-L'!$A$3:$M$75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<sst xmlns="http://schemas.openxmlformats.org/spreadsheetml/2006/main" count="853" uniqueCount="241">
  <si>
    <t xml:space="preserve">Proyección Mundial 2026 — Archivo maestro</t>
  </si>
  <si>
    <t xml:space="preserve">Modelo basado en el ranking FIFA del 11 de junio de 2026</t>
  </si>
  <si>
    <t xml:space="preserve">Contenido del archivo</t>
  </si>
  <si>
    <t xml:space="preserve">1. Partidos A-L</t>
  </si>
  <si>
    <t xml:space="preserve">Proyección de los 72 partidos de grupos: probabilidad de victoria/empate/derrota, marcador más probable y ganador.</t>
  </si>
  <si>
    <t xml:space="preserve">2. Avance Montecarlo</t>
  </si>
  <si>
    <t xml:space="preserve">Probabilidad de cada selección de ganar su grupo y de avanzar (20.000 torneos simulados).</t>
  </si>
  <si>
    <t xml:space="preserve">3. Gráficos avance</t>
  </si>
  <si>
    <t xml:space="preserve">Barras de probabilidad de avanzar por grupo.</t>
  </si>
  <si>
    <t xml:space="preserve">4. Cuadro R32</t>
  </si>
  <si>
    <t xml:space="preserve">Dieciseisavos emparejados con los clasificados más probables (estructura oficial FIFA).</t>
  </si>
  <si>
    <t xml:space="preserve">5. Camino a la final</t>
  </si>
  <si>
    <t xml:space="preserve">Probabilidad de llegar a octavos, cuartos, semis, final y de ser campeón.</t>
  </si>
  <si>
    <t xml:space="preserve">6. Favoritos</t>
  </si>
  <si>
    <t xml:space="preserve">Gráfico de los 12 candidatos al título.</t>
  </si>
  <si>
    <t xml:space="preserve">Metodología</t>
  </si>
  <si>
    <t xml:space="preserve">Puntos</t>
  </si>
  <si>
    <t xml:space="preserve">Cada posición FIFA se convierte en puntos aproximados; la diferencia alimenta una fórmula tipo Elo (divisor 600).</t>
  </si>
  <si>
    <t xml:space="preserve">Goles</t>
  </si>
  <si>
    <t xml:space="preserve">Del desbalance se derivan goles esperados y se modelan con Poisson (media 2.6 goles/partido).</t>
  </si>
  <si>
    <t xml:space="preserve">Anfitriones</t>
  </si>
  <si>
    <t xml:space="preserve">Ventaja de +60 puntos solo a México, EE.UU. y Canadá en sus partidos.</t>
  </si>
  <si>
    <t xml:space="preserve">Simulación</t>
  </si>
  <si>
    <t xml:space="preserve">20.000 torneos completos con puntos 3/1/0, desempates oficiales y penales por fuerza relativa.</t>
  </si>
  <si>
    <t xml:space="preserve">Advertencias</t>
  </si>
  <si>
    <t xml:space="preserve">Es una estimación probabilística reproducible, NO un pronóstico fiable. Solo usa el ranking: ignora lesiones, forma y bajas. Los cruces de octavos en adelante usan el orden estándar del cuadro.</t>
  </si>
  <si>
    <t xml:space="preserve">Proyección por modelo — 72 partidos de grupos</t>
  </si>
  <si>
    <t xml:space="preserve">Grupo</t>
  </si>
  <si>
    <t xml:space="preserve">Fecha</t>
  </si>
  <si>
    <t xml:space="preserve">Local</t>
  </si>
  <si>
    <t xml:space="preserve">Rank L</t>
  </si>
  <si>
    <t xml:space="preserve">Visitante</t>
  </si>
  <si>
    <t xml:space="preserve">Rank V</t>
  </si>
  <si>
    <t xml:space="preserve">Dif. ranking</t>
  </si>
  <si>
    <t xml:space="preserve">Prob. Local</t>
  </si>
  <si>
    <t xml:space="preserve">Prob. Empate</t>
  </si>
  <si>
    <t xml:space="preserve">Prob. Visitante</t>
  </si>
  <si>
    <t xml:space="preserve">Marcador más prob.</t>
  </si>
  <si>
    <t xml:space="preserve">Pronóstico</t>
  </si>
  <si>
    <t xml:space="preserve">Ganador / Empate</t>
  </si>
  <si>
    <t xml:space="preserve">A</t>
  </si>
  <si>
    <t xml:space="preserve">11 jun</t>
  </si>
  <si>
    <t xml:space="preserve">México</t>
  </si>
  <si>
    <t xml:space="preserve">Sudáfrica</t>
  </si>
  <si>
    <t xml:space="preserve">2 – 0</t>
  </si>
  <si>
    <t xml:space="preserve">Favorito: México</t>
  </si>
  <si>
    <t xml:space="preserve">12 jun</t>
  </si>
  <si>
    <t xml:space="preserve">Corea del Sur</t>
  </si>
  <si>
    <t xml:space="preserve">República Checa</t>
  </si>
  <si>
    <t xml:space="preserve">1 – 1</t>
  </si>
  <si>
    <t xml:space="preserve">Favorito: Corea del Sur</t>
  </si>
  <si>
    <t xml:space="preserve">18 jun</t>
  </si>
  <si>
    <t xml:space="preserve">Favorito: República Checa</t>
  </si>
  <si>
    <t xml:space="preserve">19 jun</t>
  </si>
  <si>
    <t xml:space="preserve">1 – 0</t>
  </si>
  <si>
    <t xml:space="preserve">25 jun</t>
  </si>
  <si>
    <t xml:space="preserve">0 – 1</t>
  </si>
  <si>
    <t xml:space="preserve">B</t>
  </si>
  <si>
    <t xml:space="preserve">Canadá</t>
  </si>
  <si>
    <t xml:space="preserve">Bosnia y Herzegovina</t>
  </si>
  <si>
    <t xml:space="preserve">Favorito: Canadá</t>
  </si>
  <si>
    <t xml:space="preserve">13 jun</t>
  </si>
  <si>
    <t xml:space="preserve">Catar</t>
  </si>
  <si>
    <t xml:space="preserve">Suiza</t>
  </si>
  <si>
    <t xml:space="preserve">Favorito: Suiza</t>
  </si>
  <si>
    <t xml:space="preserve">24 jun</t>
  </si>
  <si>
    <t xml:space="preserve">Parejo</t>
  </si>
  <si>
    <t xml:space="preserve">Empate</t>
  </si>
  <si>
    <t xml:space="preserve">C</t>
  </si>
  <si>
    <t xml:space="preserve">Estados Unidos</t>
  </si>
  <si>
    <t xml:space="preserve">Paraguay</t>
  </si>
  <si>
    <t xml:space="preserve">Favorito: Estados Unidos</t>
  </si>
  <si>
    <t xml:space="preserve">14 jun</t>
  </si>
  <si>
    <t xml:space="preserve">Australia</t>
  </si>
  <si>
    <t xml:space="preserve">Turquía</t>
  </si>
  <si>
    <t xml:space="preserve">20 jun</t>
  </si>
  <si>
    <t xml:space="preserve">Favorito: Turquía</t>
  </si>
  <si>
    <t xml:space="preserve">26 jun</t>
  </si>
  <si>
    <t xml:space="preserve">Favorito: Australia</t>
  </si>
  <si>
    <t xml:space="preserve">D</t>
  </si>
  <si>
    <t xml:space="preserve">Brasil</t>
  </si>
  <si>
    <t xml:space="preserve">Marruecos</t>
  </si>
  <si>
    <t xml:space="preserve">Haití</t>
  </si>
  <si>
    <t xml:space="preserve">Escocia</t>
  </si>
  <si>
    <t xml:space="preserve">Favorito: Escocia</t>
  </si>
  <si>
    <t xml:space="preserve">Favorito: Marruecos</t>
  </si>
  <si>
    <t xml:space="preserve">Favorito: Brasil</t>
  </si>
  <si>
    <t xml:space="preserve">E</t>
  </si>
  <si>
    <t xml:space="preserve">Alemania</t>
  </si>
  <si>
    <t xml:space="preserve">Curazao</t>
  </si>
  <si>
    <t xml:space="preserve">Favorito: Alemania</t>
  </si>
  <si>
    <t xml:space="preserve">Costa de Marfil</t>
  </si>
  <si>
    <t xml:space="preserve">Ecuador</t>
  </si>
  <si>
    <t xml:space="preserve">Favorito: Ecuador</t>
  </si>
  <si>
    <t xml:space="preserve">21 jun</t>
  </si>
  <si>
    <t xml:space="preserve">Favorito: Costa de Marfil</t>
  </si>
  <si>
    <t xml:space="preserve">F</t>
  </si>
  <si>
    <t xml:space="preserve">Países Bajos</t>
  </si>
  <si>
    <t xml:space="preserve">Japón</t>
  </si>
  <si>
    <t xml:space="preserve">Favorito: Países Bajos</t>
  </si>
  <si>
    <t xml:space="preserve">15 jun</t>
  </si>
  <si>
    <t xml:space="preserve">Suecia</t>
  </si>
  <si>
    <t xml:space="preserve">Túnez</t>
  </si>
  <si>
    <t xml:space="preserve">Favorito: Japón</t>
  </si>
  <si>
    <t xml:space="preserve">G</t>
  </si>
  <si>
    <t xml:space="preserve">Arabia Saudita</t>
  </si>
  <si>
    <t xml:space="preserve">Uruguay</t>
  </si>
  <si>
    <t xml:space="preserve">Favorito: Uruguay</t>
  </si>
  <si>
    <t xml:space="preserve">España</t>
  </si>
  <si>
    <t xml:space="preserve">Cabo Verde</t>
  </si>
  <si>
    <t xml:space="preserve">Favorito: España</t>
  </si>
  <si>
    <t xml:space="preserve">27 jun</t>
  </si>
  <si>
    <t xml:space="preserve">H</t>
  </si>
  <si>
    <t xml:space="preserve">Bélgica</t>
  </si>
  <si>
    <t xml:space="preserve">Egipto</t>
  </si>
  <si>
    <t xml:space="preserve">Favorito: Bélgica</t>
  </si>
  <si>
    <t xml:space="preserve">16 jun</t>
  </si>
  <si>
    <t xml:space="preserve">Irán</t>
  </si>
  <si>
    <t xml:space="preserve">Nueva Zelanda</t>
  </si>
  <si>
    <t xml:space="preserve">Favorito: Irán</t>
  </si>
  <si>
    <t xml:space="preserve">22 jun</t>
  </si>
  <si>
    <t xml:space="preserve">Favorito: Egipto</t>
  </si>
  <si>
    <t xml:space="preserve">0 – 2</t>
  </si>
  <si>
    <t xml:space="preserve">I</t>
  </si>
  <si>
    <t xml:space="preserve">Francia</t>
  </si>
  <si>
    <t xml:space="preserve">Senegal</t>
  </si>
  <si>
    <t xml:space="preserve">Favorito: Francia</t>
  </si>
  <si>
    <t xml:space="preserve">Irak</t>
  </si>
  <si>
    <t xml:space="preserve">Noruega</t>
  </si>
  <si>
    <t xml:space="preserve">Favorito: Noruega</t>
  </si>
  <si>
    <t xml:space="preserve">23 jun</t>
  </si>
  <si>
    <t xml:space="preserve">Favorito: Senegal</t>
  </si>
  <si>
    <t xml:space="preserve">J</t>
  </si>
  <si>
    <t xml:space="preserve">17 jun</t>
  </si>
  <si>
    <t xml:space="preserve">Inglaterra</t>
  </si>
  <si>
    <t xml:space="preserve">Croacia</t>
  </si>
  <si>
    <t xml:space="preserve">Favorito: Inglaterra</t>
  </si>
  <si>
    <t xml:space="preserve">Ghana</t>
  </si>
  <si>
    <t xml:space="preserve">Panamá</t>
  </si>
  <si>
    <t xml:space="preserve">Favorito: Panamá</t>
  </si>
  <si>
    <t xml:space="preserve">Favorito: Croacia</t>
  </si>
  <si>
    <t xml:space="preserve">K</t>
  </si>
  <si>
    <t xml:space="preserve">Portugal</t>
  </si>
  <si>
    <t xml:space="preserve">RD Congo</t>
  </si>
  <si>
    <t xml:space="preserve">Favorito: Portugal</t>
  </si>
  <si>
    <t xml:space="preserve">Uzbekistán</t>
  </si>
  <si>
    <t xml:space="preserve">Colombia</t>
  </si>
  <si>
    <t xml:space="preserve">Favorito: Colombia</t>
  </si>
  <si>
    <t xml:space="preserve">L</t>
  </si>
  <si>
    <t xml:space="preserve">Argentina</t>
  </si>
  <si>
    <t xml:space="preserve">Argelia</t>
  </si>
  <si>
    <t xml:space="preserve">Favorito: Argentina</t>
  </si>
  <si>
    <t xml:space="preserve">Austria</t>
  </si>
  <si>
    <t xml:space="preserve">Jordania</t>
  </si>
  <si>
    <t xml:space="preserve">Favorito: Austria</t>
  </si>
  <si>
    <t xml:space="preserve">Favorito: Argelia</t>
  </si>
  <si>
    <t xml:space="preserve">28 jun</t>
  </si>
  <si>
    <t xml:space="preserve">Probabilidad de avanzar — Montecarlo (20.000 torneos)</t>
  </si>
  <si>
    <t xml:space="preserve">Selección</t>
  </si>
  <si>
    <t xml:space="preserve">Rank</t>
  </si>
  <si>
    <t xml:space="preserve">Prob. ganar grupo</t>
  </si>
  <si>
    <t xml:space="preserve">Prob. 1º o 2º</t>
  </si>
  <si>
    <t xml:space="preserve">Prob. avanzar</t>
  </si>
  <si>
    <t xml:space="preserve">Probabilidad de avanzar por grupo</t>
  </si>
  <si>
    <t xml:space="preserve">Dieciseisavos (Round of 32) — clasificados más probables</t>
  </si>
  <si>
    <t xml:space="preserve">Partido</t>
  </si>
  <si>
    <t xml:space="preserve">Equipo 1 (proyectado)</t>
  </si>
  <si>
    <t xml:space="preserve">Equipo 2 (proyectado)</t>
  </si>
  <si>
    <t xml:space="preserve">Sede</t>
  </si>
  <si>
    <t xml:space="preserve">M73</t>
  </si>
  <si>
    <t xml:space="preserve">Corea del Sur (2A)</t>
  </si>
  <si>
    <t xml:space="preserve">Canadá (2B)</t>
  </si>
  <si>
    <t xml:space="preserve">SoFi, Los Ángeles</t>
  </si>
  <si>
    <t xml:space="preserve">M74</t>
  </si>
  <si>
    <t xml:space="preserve">29 jun</t>
  </si>
  <si>
    <t xml:space="preserve">Alemania (1E)</t>
  </si>
  <si>
    <t xml:space="preserve">Escocia (3º D)</t>
  </si>
  <si>
    <t xml:space="preserve">Gillette, Boston</t>
  </si>
  <si>
    <t xml:space="preserve">M75</t>
  </si>
  <si>
    <t xml:space="preserve">Países Bajos (1F)</t>
  </si>
  <si>
    <t xml:space="preserve">Turquía (2C)</t>
  </si>
  <si>
    <t xml:space="preserve">Estadio BBVA, Monterrey</t>
  </si>
  <si>
    <t xml:space="preserve">M76</t>
  </si>
  <si>
    <t xml:space="preserve">Estados Unidos (1C)</t>
  </si>
  <si>
    <t xml:space="preserve">Japón (2F)</t>
  </si>
  <si>
    <t xml:space="preserve">NRG, Houston</t>
  </si>
  <si>
    <t xml:space="preserve">M77</t>
  </si>
  <si>
    <t xml:space="preserve">30 jun</t>
  </si>
  <si>
    <t xml:space="preserve">Francia (1I)</t>
  </si>
  <si>
    <t xml:space="preserve">Egipto (3º H)</t>
  </si>
  <si>
    <t xml:space="preserve">MetLife, Nueva York/NJ</t>
  </si>
  <si>
    <t xml:space="preserve">M78</t>
  </si>
  <si>
    <t xml:space="preserve">Ecuador (2E)</t>
  </si>
  <si>
    <t xml:space="preserve">Senegal (2I)</t>
  </si>
  <si>
    <t xml:space="preserve">AT&amp;T, Dallas</t>
  </si>
  <si>
    <t xml:space="preserve">M79</t>
  </si>
  <si>
    <t xml:space="preserve">México (1A)</t>
  </si>
  <si>
    <t xml:space="preserve">Costa de Marfil (3º E)</t>
  </si>
  <si>
    <t xml:space="preserve">Estadio Azteca, CDMX</t>
  </si>
  <si>
    <t xml:space="preserve">M80</t>
  </si>
  <si>
    <t xml:space="preserve">1 jul</t>
  </si>
  <si>
    <t xml:space="preserve">Argentina (1L)</t>
  </si>
  <si>
    <t xml:space="preserve">Panamá (3º J)</t>
  </si>
  <si>
    <t xml:space="preserve">M81</t>
  </si>
  <si>
    <t xml:space="preserve">Brasil (1D)</t>
  </si>
  <si>
    <t xml:space="preserve">Noruega (3º I)</t>
  </si>
  <si>
    <t xml:space="preserve">M82</t>
  </si>
  <si>
    <t xml:space="preserve">España (1G)</t>
  </si>
  <si>
    <t xml:space="preserve">República Checa (3º A)</t>
  </si>
  <si>
    <t xml:space="preserve">M83</t>
  </si>
  <si>
    <t xml:space="preserve">2 jul</t>
  </si>
  <si>
    <t xml:space="preserve">Colombia (2K)</t>
  </si>
  <si>
    <t xml:space="preserve">Austria (2L)</t>
  </si>
  <si>
    <t xml:space="preserve">BMO Field, Toronto</t>
  </si>
  <si>
    <t xml:space="preserve">M84</t>
  </si>
  <si>
    <t xml:space="preserve">Bélgica (1H)</t>
  </si>
  <si>
    <t xml:space="preserve">Croacia (2J)</t>
  </si>
  <si>
    <t xml:space="preserve">M85</t>
  </si>
  <si>
    <t xml:space="preserve">Suiza (1B)</t>
  </si>
  <si>
    <t xml:space="preserve">Suecia (3º F)</t>
  </si>
  <si>
    <t xml:space="preserve">BC Place, Vancouver</t>
  </si>
  <si>
    <t xml:space="preserve">M86</t>
  </si>
  <si>
    <t xml:space="preserve">3 jul</t>
  </si>
  <si>
    <t xml:space="preserve">Inglaterra (1J)</t>
  </si>
  <si>
    <t xml:space="preserve">Irán (2H)</t>
  </si>
  <si>
    <t xml:space="preserve">Hard Rock, Miami</t>
  </si>
  <si>
    <t xml:space="preserve">M87</t>
  </si>
  <si>
    <t xml:space="preserve">Portugal (1K)</t>
  </si>
  <si>
    <t xml:space="preserve">Argelia (3º L)</t>
  </si>
  <si>
    <t xml:space="preserve">Arrowhead, Kansas City</t>
  </si>
  <si>
    <t xml:space="preserve">M88</t>
  </si>
  <si>
    <t xml:space="preserve">Marruecos (2D)</t>
  </si>
  <si>
    <t xml:space="preserve">Uruguay (2G)</t>
  </si>
  <si>
    <t xml:space="preserve">Probabilidades en eliminatorias — Montecarlo</t>
  </si>
  <si>
    <t xml:space="preserve">Clasifica</t>
  </si>
  <si>
    <t xml:space="preserve">Octavos</t>
  </si>
  <si>
    <t xml:space="preserve">Cuartos</t>
  </si>
  <si>
    <t xml:space="preserve">Semifinal</t>
  </si>
  <si>
    <t xml:space="preserve">Final</t>
  </si>
  <si>
    <t xml:space="preserve">Campeón</t>
  </si>
  <si>
    <t xml:space="preserve">Probabilidad de ser campeón (top 12)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</si>
</sst>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9C6500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78787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Montecarlo'!$B$4:$B$7</c:f>
              <c:strCache>
                <c:ptCount val="4"/>
                <c:pt idx="0">
                  <c:v>México</c:v>
                </c:pt>
                <c:pt idx="1">
                  <c:v>Corea del Sur</c:v>
                </c:pt>
                <c:pt idx="2">
                  <c:v>República Checa</c:v>
                </c:pt>
                <c:pt idx="3">
                  <c:v>Sudáfrica</c:v>
                </c:pt>
              </c:strCache>
            </c:strRef>
          </c:cat>
          <c:val>
            <c:numRef>
              <c:f>'Avance Montecarlo'!$G$4:$G$7</c:f>
              <c:numCache>
                <c:formatCode>0%</c:formatCode>
                <c:ptCount val="4"/>
                <c:pt idx="0">
                  <c:v>0.95</c:v>
                </c:pt>
                <c:pt idx="1">
                  <c:v>0.759</c:v>
                </c:pt>
                <c:pt idx="2">
                  <c:v>0.579</c:v>
                </c:pt>
                <c:pt idx="3">
                  <c:v>0.4</c:v>
                </c:pt>
              </c:numCache>
            </c:numRef>
          </c:val>
        </c:ser>
        <c:gapWidth val="150"/>
        <c:overlap val="0"/>
        <c:axId val="16736874"/>
        <c:axId val="75860595"/>
      </c:barChart>
      <c:catAx>
        <c:axId val="167368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860595"/>
        <c:crosses val="autoZero"/>
        <c:auto val="1"/>
        <c:lblAlgn val="ctr"/>
        <c:lblOffset val="100"/>
        <c:noMultiLvlLbl val="0"/>
      </c:catAx>
      <c:valAx>
        <c:axId val="7586059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7368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Montecarlo'!$B$8:$B$11</c:f>
              <c:strCache>
                <c:ptCount val="4"/>
                <c:pt idx="0">
                  <c:v>Suiza</c:v>
                </c:pt>
                <c:pt idx="1">
                  <c:v>Canadá</c:v>
                </c:pt>
                <c:pt idx="2">
                  <c:v>Catar</c:v>
                </c:pt>
                <c:pt idx="3">
                  <c:v>Bosnia y Herzegovina</c:v>
                </c:pt>
              </c:strCache>
            </c:strRef>
          </c:cat>
          <c:val>
            <c:numRef>
              <c:f>'Avance Montecarlo'!$G$8:$G$11</c:f>
              <c:numCache>
                <c:formatCode>0%</c:formatCode>
                <c:ptCount val="4"/>
                <c:pt idx="0">
                  <c:v>0.891</c:v>
                </c:pt>
                <c:pt idx="1">
                  <c:v>0.853</c:v>
                </c:pt>
                <c:pt idx="2">
                  <c:v>0.516</c:v>
                </c:pt>
                <c:pt idx="3">
                  <c:v>0.452</c:v>
                </c:pt>
              </c:numCache>
            </c:numRef>
          </c:val>
        </c:ser>
        <c:gapWidth val="150"/>
        <c:overlap val="0"/>
        <c:axId val="81854812"/>
        <c:axId val="37683877"/>
      </c:barChart>
      <c:catAx>
        <c:axId val="818548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683877"/>
        <c:crosses val="autoZero"/>
        <c:auto val="1"/>
        <c:lblAlgn val="ctr"/>
        <c:lblOffset val="100"/>
        <c:noMultiLvlLbl val="0"/>
      </c:catAx>
      <c:valAx>
        <c:axId val="3768387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8548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Montecarlo'!$B$12:$B$15</c:f>
              <c:strCache>
                <c:ptCount val="4"/>
                <c:pt idx="0">
                  <c:v>Estados Unidos</c:v>
                </c:pt>
                <c:pt idx="1">
                  <c:v>Turquía</c:v>
                </c:pt>
                <c:pt idx="2">
                  <c:v>Australia</c:v>
                </c:pt>
                <c:pt idx="3">
                  <c:v>Paraguay</c:v>
                </c:pt>
              </c:strCache>
            </c:strRef>
          </c:cat>
          <c:val>
            <c:numRef>
              <c:f>'Avance Montecarlo'!$G$12:$G$15</c:f>
              <c:numCache>
                <c:formatCode>0%</c:formatCode>
                <c:ptCount val="4"/>
                <c:pt idx="0">
                  <c:v>0.899</c:v>
                </c:pt>
                <c:pt idx="1">
                  <c:v>0.706</c:v>
                </c:pt>
                <c:pt idx="2">
                  <c:v>0.662</c:v>
                </c:pt>
                <c:pt idx="3">
                  <c:v>0.458</c:v>
                </c:pt>
              </c:numCache>
            </c:numRef>
          </c:val>
        </c:ser>
        <c:gapWidth val="150"/>
        <c:overlap val="0"/>
        <c:axId val="12670426"/>
        <c:axId val="58578949"/>
      </c:barChart>
      <c:catAx>
        <c:axId val="126704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578949"/>
        <c:crosses val="autoZero"/>
        <c:auto val="1"/>
        <c:lblAlgn val="ctr"/>
        <c:lblOffset val="100"/>
        <c:noMultiLvlLbl val="0"/>
      </c:catAx>
      <c:valAx>
        <c:axId val="5857894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6704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Montecarlo'!$B$16:$B$19</c:f>
              <c:strCache>
                <c:ptCount val="4"/>
                <c:pt idx="0">
                  <c:v>Brasil</c:v>
                </c:pt>
                <c:pt idx="1">
                  <c:v>Marruecos</c:v>
                </c:pt>
                <c:pt idx="2">
                  <c:v>Escocia</c:v>
                </c:pt>
                <c:pt idx="3">
                  <c:v>Haití</c:v>
                </c:pt>
              </c:strCache>
            </c:strRef>
          </c:cat>
          <c:val>
            <c:numRef>
              <c:f>'Avance Montecarlo'!$G$16:$G$19</c:f>
              <c:numCache>
                <c:formatCode>0%</c:formatCode>
                <c:ptCount val="4"/>
                <c:pt idx="0">
                  <c:v>0.951</c:v>
                </c:pt>
                <c:pt idx="1">
                  <c:v>0.949</c:v>
                </c:pt>
                <c:pt idx="2">
                  <c:v>0.526</c:v>
                </c:pt>
                <c:pt idx="3">
                  <c:v>0.207</c:v>
                </c:pt>
              </c:numCache>
            </c:numRef>
          </c:val>
        </c:ser>
        <c:gapWidth val="150"/>
        <c:overlap val="0"/>
        <c:axId val="95190869"/>
        <c:axId val="82034265"/>
      </c:barChart>
      <c:catAx>
        <c:axId val="951908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34265"/>
        <c:crosses val="autoZero"/>
        <c:auto val="1"/>
        <c:lblAlgn val="ctr"/>
        <c:lblOffset val="100"/>
        <c:noMultiLvlLbl val="0"/>
      </c:catAx>
      <c:valAx>
        <c:axId val="8203426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1908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Montecarlo'!$B$20:$B$23</c:f>
              <c:strCache>
                <c:ptCount val="4"/>
                <c:pt idx="0">
                  <c:v>Alemania</c:v>
                </c:pt>
                <c:pt idx="1">
                  <c:v>Ecuador</c:v>
                </c:pt>
                <c:pt idx="2">
                  <c:v>Costa de Marfil</c:v>
                </c:pt>
                <c:pt idx="3">
                  <c:v>Curazao</c:v>
                </c:pt>
              </c:strCache>
            </c:strRef>
          </c:cat>
          <c:val>
            <c:numRef>
              <c:f>'Avance Montecarlo'!$G$20:$G$23</c:f>
              <c:numCache>
                <c:formatCode>0%</c:formatCode>
                <c:ptCount val="4"/>
                <c:pt idx="0">
                  <c:v>0.946</c:v>
                </c:pt>
                <c:pt idx="1">
                  <c:v>0.8</c:v>
                </c:pt>
                <c:pt idx="2">
                  <c:v>0.686</c:v>
                </c:pt>
                <c:pt idx="3">
                  <c:v>0.272</c:v>
                </c:pt>
              </c:numCache>
            </c:numRef>
          </c:val>
        </c:ser>
        <c:gapWidth val="150"/>
        <c:overlap val="0"/>
        <c:axId val="99245635"/>
        <c:axId val="16613848"/>
      </c:barChart>
      <c:catAx>
        <c:axId val="992456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613848"/>
        <c:crosses val="autoZero"/>
        <c:auto val="1"/>
        <c:lblAlgn val="ctr"/>
        <c:lblOffset val="100"/>
        <c:noMultiLvlLbl val="0"/>
      </c:catAx>
      <c:valAx>
        <c:axId val="1661384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2456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Montecarlo'!$B$24:$B$27</c:f>
              <c:strCache>
                <c:ptCount val="4"/>
                <c:pt idx="0">
                  <c:v>Países Bajos</c:v>
                </c:pt>
                <c:pt idx="1">
                  <c:v>Japón</c:v>
                </c:pt>
                <c:pt idx="2">
                  <c:v>Suecia</c:v>
                </c:pt>
                <c:pt idx="3">
                  <c:v>Túnez</c:v>
                </c:pt>
              </c:strCache>
            </c:strRef>
          </c:cat>
          <c:val>
            <c:numRef>
              <c:f>'Avance Montecarlo'!$G$24:$G$27</c:f>
              <c:numCache>
                <c:formatCode>0%</c:formatCode>
                <c:ptCount val="4"/>
                <c:pt idx="0">
                  <c:v>0.93</c:v>
                </c:pt>
                <c:pt idx="1">
                  <c:v>0.82</c:v>
                </c:pt>
                <c:pt idx="2">
                  <c:v>0.511</c:v>
                </c:pt>
                <c:pt idx="3">
                  <c:v>0.431</c:v>
                </c:pt>
              </c:numCache>
            </c:numRef>
          </c:val>
        </c:ser>
        <c:gapWidth val="150"/>
        <c:overlap val="0"/>
        <c:axId val="66817292"/>
        <c:axId val="16967270"/>
      </c:barChart>
      <c:catAx>
        <c:axId val="668172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967270"/>
        <c:crosses val="autoZero"/>
        <c:auto val="1"/>
        <c:lblAlgn val="ctr"/>
        <c:lblOffset val="100"/>
        <c:noMultiLvlLbl val="0"/>
      </c:catAx>
      <c:valAx>
        <c:axId val="1696727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8172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Montecarlo'!$B$28:$B$31</c:f>
              <c:strCache>
                <c:ptCount val="4"/>
                <c:pt idx="0">
                  <c:v>España</c:v>
                </c:pt>
                <c:pt idx="1">
                  <c:v>Uruguay</c:v>
                </c:pt>
                <c:pt idx="2">
                  <c:v>Arabia Saudita</c:v>
                </c:pt>
                <c:pt idx="3">
                  <c:v>Cabo Verde</c:v>
                </c:pt>
              </c:strCache>
            </c:strRef>
          </c:cat>
          <c:val>
            <c:numRef>
              <c:f>'Avance Montecarlo'!$G$28:$G$31</c:f>
              <c:numCache>
                <c:formatCode>0%</c:formatCode>
                <c:ptCount val="4"/>
                <c:pt idx="0">
                  <c:v>0.991</c:v>
                </c:pt>
                <c:pt idx="1">
                  <c:v>0.876</c:v>
                </c:pt>
                <c:pt idx="2">
                  <c:v>0.372</c:v>
                </c:pt>
                <c:pt idx="3">
                  <c:v>0.324</c:v>
                </c:pt>
              </c:numCache>
            </c:numRef>
          </c:val>
        </c:ser>
        <c:gapWidth val="150"/>
        <c:overlap val="0"/>
        <c:axId val="34328153"/>
        <c:axId val="89728294"/>
      </c:barChart>
      <c:catAx>
        <c:axId val="343281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728294"/>
        <c:crosses val="autoZero"/>
        <c:auto val="1"/>
        <c:lblAlgn val="ctr"/>
        <c:lblOffset val="100"/>
        <c:noMultiLvlLbl val="0"/>
      </c:catAx>
      <c:valAx>
        <c:axId val="8972829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3281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Montecarlo'!$B$32:$B$35</c:f>
              <c:strCache>
                <c:ptCount val="4"/>
                <c:pt idx="0">
                  <c:v>Bélgica</c:v>
                </c:pt>
                <c:pt idx="1">
                  <c:v>Irán</c:v>
                </c:pt>
                <c:pt idx="2">
                  <c:v>Egipto</c:v>
                </c:pt>
                <c:pt idx="3">
                  <c:v>Nueva Zelanda</c:v>
                </c:pt>
              </c:strCache>
            </c:strRef>
          </c:cat>
          <c:val>
            <c:numRef>
              <c:f>'Avance Montecarlo'!$G$32:$G$35</c:f>
              <c:numCache>
                <c:formatCode>0%</c:formatCode>
                <c:ptCount val="4"/>
                <c:pt idx="0">
                  <c:v>0.943</c:v>
                </c:pt>
                <c:pt idx="1">
                  <c:v>0.833</c:v>
                </c:pt>
                <c:pt idx="2">
                  <c:v>0.713</c:v>
                </c:pt>
                <c:pt idx="3">
                  <c:v>0.229</c:v>
                </c:pt>
              </c:numCache>
            </c:numRef>
          </c:val>
        </c:ser>
        <c:gapWidth val="150"/>
        <c:overlap val="0"/>
        <c:axId val="91631297"/>
        <c:axId val="1709468"/>
      </c:barChart>
      <c:catAx>
        <c:axId val="916312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09468"/>
        <c:crosses val="autoZero"/>
        <c:auto val="1"/>
        <c:lblAlgn val="ctr"/>
        <c:lblOffset val="100"/>
        <c:noMultiLvlLbl val="0"/>
      </c:catAx>
      <c:valAx>
        <c:axId val="170946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6312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Montecarlo'!$B$36:$B$39</c:f>
              <c:strCache>
                <c:ptCount val="4"/>
                <c:pt idx="0">
                  <c:v>Francia</c:v>
                </c:pt>
                <c:pt idx="1">
                  <c:v>Senegal</c:v>
                </c:pt>
                <c:pt idx="2">
                  <c:v>Noruega</c:v>
                </c:pt>
                <c:pt idx="3">
                  <c:v>Irak</c:v>
                </c:pt>
              </c:strCache>
            </c:strRef>
          </c:cat>
          <c:val>
            <c:numRef>
              <c:f>'Avance Montecarlo'!$G$36:$G$39</c:f>
              <c:numCache>
                <c:formatCode>0%</c:formatCode>
                <c:ptCount val="4"/>
                <c:pt idx="0">
                  <c:v>0.979</c:v>
                </c:pt>
                <c:pt idx="1">
                  <c:v>0.823</c:v>
                </c:pt>
                <c:pt idx="2">
                  <c:v>0.547</c:v>
                </c:pt>
                <c:pt idx="3">
                  <c:v>0.288</c:v>
                </c:pt>
              </c:numCache>
            </c:numRef>
          </c:val>
        </c:ser>
        <c:gapWidth val="150"/>
        <c:overlap val="0"/>
        <c:axId val="55035820"/>
        <c:axId val="76048759"/>
      </c:barChart>
      <c:catAx>
        <c:axId val="550358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048759"/>
        <c:crosses val="autoZero"/>
        <c:auto val="1"/>
        <c:lblAlgn val="ctr"/>
        <c:lblOffset val="100"/>
        <c:noMultiLvlLbl val="0"/>
      </c:catAx>
      <c:valAx>
        <c:axId val="7604875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0358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J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Montecarlo'!$B$40:$B$43</c:f>
              <c:strCache>
                <c:ptCount val="4"/>
                <c:pt idx="0">
                  <c:v>Inglaterra</c:v>
                </c:pt>
                <c:pt idx="1">
                  <c:v>Croacia</c:v>
                </c:pt>
                <c:pt idx="2">
                  <c:v>Panamá</c:v>
                </c:pt>
                <c:pt idx="3">
                  <c:v>Ghana</c:v>
                </c:pt>
              </c:strCache>
            </c:strRef>
          </c:cat>
          <c:val>
            <c:numRef>
              <c:f>'Avance Montecarlo'!$G$40:$G$43</c:f>
              <c:numCache>
                <c:formatCode>0%</c:formatCode>
                <c:ptCount val="4"/>
                <c:pt idx="0">
                  <c:v>0.969</c:v>
                </c:pt>
                <c:pt idx="1">
                  <c:v>0.896</c:v>
                </c:pt>
                <c:pt idx="2">
                  <c:v>0.557</c:v>
                </c:pt>
                <c:pt idx="3">
                  <c:v>0.223</c:v>
                </c:pt>
              </c:numCache>
            </c:numRef>
          </c:val>
        </c:ser>
        <c:gapWidth val="150"/>
        <c:overlap val="0"/>
        <c:axId val="83611446"/>
        <c:axId val="33091571"/>
      </c:barChart>
      <c:catAx>
        <c:axId val="836114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91571"/>
        <c:crosses val="autoZero"/>
        <c:auto val="1"/>
        <c:lblAlgn val="ctr"/>
        <c:lblOffset val="100"/>
        <c:noMultiLvlLbl val="0"/>
      </c:catAx>
      <c:valAx>
        <c:axId val="3309157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6114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Montecarlo'!$B$44:$B$47</c:f>
              <c:strCache>
                <c:ptCount val="4"/>
                <c:pt idx="0">
                  <c:v>Portugal</c:v>
                </c:pt>
                <c:pt idx="1">
                  <c:v>Colombia</c:v>
                </c:pt>
                <c:pt idx="2">
                  <c:v>RD Congo</c:v>
                </c:pt>
                <c:pt idx="3">
                  <c:v>Uzbekistán</c:v>
                </c:pt>
              </c:strCache>
            </c:strRef>
          </c:cat>
          <c:val>
            <c:numRef>
              <c:f>'Avance Montecarlo'!$G$44:$G$47</c:f>
              <c:numCache>
                <c:formatCode>0%</c:formatCode>
                <c:ptCount val="4"/>
                <c:pt idx="0">
                  <c:v>0.941</c:v>
                </c:pt>
                <c:pt idx="1">
                  <c:v>0.877</c:v>
                </c:pt>
                <c:pt idx="2">
                  <c:v>0.437</c:v>
                </c:pt>
                <c:pt idx="3">
                  <c:v>0.406</c:v>
                </c:pt>
              </c:numCache>
            </c:numRef>
          </c:val>
        </c:ser>
        <c:gapWidth val="150"/>
        <c:overlap val="0"/>
        <c:axId val="20628751"/>
        <c:axId val="3063018"/>
      </c:barChart>
      <c:catAx>
        <c:axId val="2062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63018"/>
        <c:crosses val="autoZero"/>
        <c:auto val="1"/>
        <c:lblAlgn val="ctr"/>
        <c:lblOffset val="100"/>
        <c:noMultiLvlLbl val="0"/>
      </c:catAx>
      <c:valAx>
        <c:axId val="306301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6287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Montecarlo'!$B$48:$B$51</c:f>
              <c:strCache>
                <c:ptCount val="4"/>
                <c:pt idx="0">
                  <c:v>Argentina</c:v>
                </c:pt>
                <c:pt idx="1">
                  <c:v>Austria</c:v>
                </c:pt>
                <c:pt idx="2">
                  <c:v>Argelia</c:v>
                </c:pt>
                <c:pt idx="3">
                  <c:v>Jordania</c:v>
                </c:pt>
              </c:strCache>
            </c:strRef>
          </c:cat>
          <c:val>
            <c:numRef>
              <c:f>'Avance Montecarlo'!$G$48:$G$51</c:f>
              <c:numCache>
                <c:formatCode>0%</c:formatCode>
                <c:ptCount val="4"/>
                <c:pt idx="0">
                  <c:v>0.987</c:v>
                </c:pt>
                <c:pt idx="1">
                  <c:v>0.698</c:v>
                </c:pt>
                <c:pt idx="2">
                  <c:v>0.645</c:v>
                </c:pt>
                <c:pt idx="3">
                  <c:v>0.292</c:v>
                </c:pt>
              </c:numCache>
            </c:numRef>
          </c:val>
        </c:ser>
        <c:gapWidth val="150"/>
        <c:overlap val="0"/>
        <c:axId val="37445929"/>
        <c:axId val="9750230"/>
      </c:barChart>
      <c:catAx>
        <c:axId val="374459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50230"/>
        <c:crosses val="autoZero"/>
        <c:auto val="1"/>
        <c:lblAlgn val="ctr"/>
        <c:lblOffset val="100"/>
        <c:noMultiLvlLbl val="0"/>
      </c:catAx>
      <c:valAx>
        <c:axId val="975023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4459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Probabilidad de campeón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Favoritos!$A$4:$A$15</c:f>
              <c:strCache>
                <c:ptCount val="12"/>
                <c:pt idx="0">
                  <c:v>Francia</c:v>
                </c:pt>
                <c:pt idx="1">
                  <c:v>Argentina</c:v>
                </c:pt>
                <c:pt idx="2">
                  <c:v>España</c:v>
                </c:pt>
                <c:pt idx="3">
                  <c:v>Inglaterra</c:v>
                </c:pt>
                <c:pt idx="4">
                  <c:v>Portugal</c:v>
                </c:pt>
                <c:pt idx="5">
                  <c:v>Países Bajos</c:v>
                </c:pt>
                <c:pt idx="6">
                  <c:v>Brasil</c:v>
                </c:pt>
                <c:pt idx="7">
                  <c:v>Marruecos</c:v>
                </c:pt>
                <c:pt idx="8">
                  <c:v>México</c:v>
                </c:pt>
                <c:pt idx="9">
                  <c:v>Alemania</c:v>
                </c:pt>
                <c:pt idx="10">
                  <c:v>Estados Unidos</c:v>
                </c:pt>
                <c:pt idx="11">
                  <c:v>Bélgica</c:v>
                </c:pt>
              </c:strCache>
            </c:strRef>
          </c:cat>
          <c:val>
            <c:numRef>
              <c:f>Favoritos!$B$4:$B$15</c:f>
              <c:numCache>
                <c:formatCode>0%</c:formatCode>
                <c:ptCount val="12"/>
                <c:pt idx="0">
                  <c:v>0.189</c:v>
                </c:pt>
                <c:pt idx="1">
                  <c:v>0.184</c:v>
                </c:pt>
                <c:pt idx="2">
                  <c:v>0.163</c:v>
                </c:pt>
                <c:pt idx="3">
                  <c:v>0.096</c:v>
                </c:pt>
                <c:pt idx="4">
                  <c:v>0.044</c:v>
                </c:pt>
                <c:pt idx="5">
                  <c:v>0.04</c:v>
                </c:pt>
                <c:pt idx="6">
                  <c:v>0.04</c:v>
                </c:pt>
                <c:pt idx="7">
                  <c:v>0.038</c:v>
                </c:pt>
                <c:pt idx="8">
                  <c:v>0.036</c:v>
                </c:pt>
                <c:pt idx="9">
                  <c:v>0.027</c:v>
                </c:pt>
                <c:pt idx="10">
                  <c:v>0.027</c:v>
                </c:pt>
                <c:pt idx="11">
                  <c:v>0.024</c:v>
                </c:pt>
              </c:numCache>
            </c:numRef>
          </c:val>
        </c:ser>
        <c:gapWidth val="150"/>
        <c:overlap val="0"/>
        <c:axId val="51134108"/>
        <c:axId val="24234431"/>
      </c:barChart>
      <c:catAx>
        <c:axId val="51134108"/>
        <c:scaling>
          <c:orientation val="minMax"/>
        </c:scaling>
        <c:delete val="0"/>
        <c:axPos val="b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234431"/>
        <c:crosses val="autoZero"/>
        <c:auto val="1"/>
        <c:lblAlgn val="ctr"/>
        <c:lblOffset val="100"/>
        <c:noMultiLvlLbl val="0"/>
      </c:catAx>
      <c:valAx>
        <c:axId val="242344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1341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160560</xdr:rowOff>
    </xdr:from>
    <xdr:to>
      <xdr:col>6</xdr:col>
      <xdr:colOff>542160</xdr:colOff>
      <xdr:row>13</xdr:row>
      <xdr:rowOff>106200</xdr:rowOff>
    </xdr:to>
    <xdr:graphicFrame>
      <xdr:nvGraphicFramePr>
        <xdr:cNvPr id="0" name="Chart 1"/>
        <xdr:cNvGraphicFramePr/>
      </xdr:nvGraphicFramePr>
      <xdr:xfrm>
        <a:off x="61164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</xdr:row>
      <xdr:rowOff>160560</xdr:rowOff>
    </xdr:from>
    <xdr:to>
      <xdr:col>16</xdr:col>
      <xdr:colOff>542160</xdr:colOff>
      <xdr:row>13</xdr:row>
      <xdr:rowOff>106200</xdr:rowOff>
    </xdr:to>
    <xdr:graphicFrame>
      <xdr:nvGraphicFramePr>
        <xdr:cNvPr id="1" name="Chart 2"/>
        <xdr:cNvGraphicFramePr/>
      </xdr:nvGraphicFramePr>
      <xdr:xfrm>
        <a:off x="672660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14</xdr:row>
      <xdr:rowOff>160920</xdr:rowOff>
    </xdr:from>
    <xdr:to>
      <xdr:col>6</xdr:col>
      <xdr:colOff>542160</xdr:colOff>
      <xdr:row>26</xdr:row>
      <xdr:rowOff>106560</xdr:rowOff>
    </xdr:to>
    <xdr:graphicFrame>
      <xdr:nvGraphicFramePr>
        <xdr:cNvPr id="2" name="Chart 3"/>
        <xdr:cNvGraphicFramePr/>
      </xdr:nvGraphicFramePr>
      <xdr:xfrm>
        <a:off x="61164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14</xdr:row>
      <xdr:rowOff>160920</xdr:rowOff>
    </xdr:from>
    <xdr:to>
      <xdr:col>16</xdr:col>
      <xdr:colOff>542160</xdr:colOff>
      <xdr:row>26</xdr:row>
      <xdr:rowOff>106560</xdr:rowOff>
    </xdr:to>
    <xdr:graphicFrame>
      <xdr:nvGraphicFramePr>
        <xdr:cNvPr id="3" name="Chart 4"/>
        <xdr:cNvGraphicFramePr/>
      </xdr:nvGraphicFramePr>
      <xdr:xfrm>
        <a:off x="672660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27</xdr:row>
      <xdr:rowOff>160920</xdr:rowOff>
    </xdr:from>
    <xdr:to>
      <xdr:col>6</xdr:col>
      <xdr:colOff>542160</xdr:colOff>
      <xdr:row>39</xdr:row>
      <xdr:rowOff>106560</xdr:rowOff>
    </xdr:to>
    <xdr:graphicFrame>
      <xdr:nvGraphicFramePr>
        <xdr:cNvPr id="4" name="Chart 5"/>
        <xdr:cNvGraphicFramePr/>
      </xdr:nvGraphicFramePr>
      <xdr:xfrm>
        <a:off x="61164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0</xdr:colOff>
      <xdr:row>27</xdr:row>
      <xdr:rowOff>160920</xdr:rowOff>
    </xdr:from>
    <xdr:to>
      <xdr:col>16</xdr:col>
      <xdr:colOff>542160</xdr:colOff>
      <xdr:row>39</xdr:row>
      <xdr:rowOff>106560</xdr:rowOff>
    </xdr:to>
    <xdr:graphicFrame>
      <xdr:nvGraphicFramePr>
        <xdr:cNvPr id="5" name="Chart 6"/>
        <xdr:cNvGraphicFramePr/>
      </xdr:nvGraphicFramePr>
      <xdr:xfrm>
        <a:off x="672660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40</xdr:row>
      <xdr:rowOff>160560</xdr:rowOff>
    </xdr:from>
    <xdr:to>
      <xdr:col>6</xdr:col>
      <xdr:colOff>542160</xdr:colOff>
      <xdr:row>52</xdr:row>
      <xdr:rowOff>106200</xdr:rowOff>
    </xdr:to>
    <xdr:graphicFrame>
      <xdr:nvGraphicFramePr>
        <xdr:cNvPr id="6" name="Chart 7"/>
        <xdr:cNvGraphicFramePr/>
      </xdr:nvGraphicFramePr>
      <xdr:xfrm>
        <a:off x="61164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11</xdr:col>
      <xdr:colOff>0</xdr:colOff>
      <xdr:row>40</xdr:row>
      <xdr:rowOff>160560</xdr:rowOff>
    </xdr:from>
    <xdr:to>
      <xdr:col>16</xdr:col>
      <xdr:colOff>542160</xdr:colOff>
      <xdr:row>52</xdr:row>
      <xdr:rowOff>106200</xdr:rowOff>
    </xdr:to>
    <xdr:graphicFrame>
      <xdr:nvGraphicFramePr>
        <xdr:cNvPr id="7" name="Chart 8"/>
        <xdr:cNvGraphicFramePr/>
      </xdr:nvGraphicFramePr>
      <xdr:xfrm>
        <a:off x="672660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0</xdr:colOff>
      <xdr:row>53</xdr:row>
      <xdr:rowOff>160560</xdr:rowOff>
    </xdr:from>
    <xdr:to>
      <xdr:col>6</xdr:col>
      <xdr:colOff>542160</xdr:colOff>
      <xdr:row>65</xdr:row>
      <xdr:rowOff>106200</xdr:rowOff>
    </xdr:to>
    <xdr:graphicFrame>
      <xdr:nvGraphicFramePr>
        <xdr:cNvPr id="8" name="Chart 9"/>
        <xdr:cNvGraphicFramePr/>
      </xdr:nvGraphicFramePr>
      <xdr:xfrm>
        <a:off x="61164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11</xdr:col>
      <xdr:colOff>0</xdr:colOff>
      <xdr:row>53</xdr:row>
      <xdr:rowOff>160560</xdr:rowOff>
    </xdr:from>
    <xdr:to>
      <xdr:col>16</xdr:col>
      <xdr:colOff>542160</xdr:colOff>
      <xdr:row>65</xdr:row>
      <xdr:rowOff>106200</xdr:rowOff>
    </xdr:to>
    <xdr:graphicFrame>
      <xdr:nvGraphicFramePr>
        <xdr:cNvPr id="9" name="Chart 10"/>
        <xdr:cNvGraphicFramePr/>
      </xdr:nvGraphicFramePr>
      <xdr:xfrm>
        <a:off x="672660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</xdr:col>
      <xdr:colOff>0</xdr:colOff>
      <xdr:row>66</xdr:row>
      <xdr:rowOff>160560</xdr:rowOff>
    </xdr:from>
    <xdr:to>
      <xdr:col>6</xdr:col>
      <xdr:colOff>542160</xdr:colOff>
      <xdr:row>78</xdr:row>
      <xdr:rowOff>106200</xdr:rowOff>
    </xdr:to>
    <xdr:graphicFrame>
      <xdr:nvGraphicFramePr>
        <xdr:cNvPr id="10" name="Chart 11"/>
        <xdr:cNvGraphicFramePr/>
      </xdr:nvGraphicFramePr>
      <xdr:xfrm>
        <a:off x="61164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11</xdr:col>
      <xdr:colOff>0</xdr:colOff>
      <xdr:row>66</xdr:row>
      <xdr:rowOff>160560</xdr:rowOff>
    </xdr:from>
    <xdr:to>
      <xdr:col>16</xdr:col>
      <xdr:colOff>542160</xdr:colOff>
      <xdr:row>78</xdr:row>
      <xdr:rowOff>106200</xdr:rowOff>
    </xdr:to>
    <xdr:graphicFrame>
      <xdr:nvGraphicFramePr>
        <xdr:cNvPr id="11" name="Chart 12"/>
        <xdr:cNvGraphicFramePr/>
      </xdr:nvGraphicFramePr>
      <xdr:xfrm>
        <a:off x="672660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160560</xdr:rowOff>
    </xdr:from>
    <xdr:to>
      <xdr:col>12</xdr:col>
      <xdr:colOff>256320</xdr:colOff>
      <xdr:row>18</xdr:row>
      <xdr:rowOff>161640</xdr:rowOff>
    </xdr:to>
    <xdr:graphicFrame>
      <xdr:nvGraphicFramePr>
        <xdr:cNvPr id="12" name="Chart 1"/>
        <xdr:cNvGraphicFramePr/>
      </xdr:nvGraphicFramePr>
      <xdr:xfrm>
        <a:off x="2585160" y="380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2</v>
      </c>
      <c r="B5" s="4"/>
    </row>
    <row r="6" customFormat="false" ht="15" hidden="false" customHeight="false" outlineLevel="0" collapsed="false">
      <c r="A6" s="3" t="s">
        <v>3</v>
      </c>
      <c r="B6" s="4" t="s">
        <v>4</v>
      </c>
    </row>
    <row r="7" customFormat="false" ht="15" hidden="false" customHeight="false" outlineLevel="0" collapsed="false">
      <c r="A7" s="3" t="s">
        <v>5</v>
      </c>
      <c r="B7" s="4" t="s">
        <v>6</v>
      </c>
    </row>
    <row r="8" customFormat="false" ht="15" hidden="false" customHeight="false" outlineLevel="0" collapsed="false">
      <c r="A8" s="3" t="s">
        <v>7</v>
      </c>
      <c r="B8" s="4" t="s">
        <v>8</v>
      </c>
    </row>
    <row r="9" customFormat="false" ht="15" hidden="false" customHeight="false" outlineLevel="0" collapsed="false">
      <c r="A9" s="3" t="s">
        <v>9</v>
      </c>
      <c r="B9" s="4" t="s">
        <v>10</v>
      </c>
    </row>
    <row r="10" customFormat="false" ht="15" hidden="false" customHeight="false" outlineLevel="0" collapsed="false">
      <c r="A10" s="3" t="s">
        <v>11</v>
      </c>
      <c r="B10" s="4" t="s">
        <v>12</v>
      </c>
    </row>
    <row r="11" customFormat="false" ht="15" hidden="false" customHeight="false" outlineLevel="0" collapsed="false">
      <c r="A11" s="3" t="s">
        <v>13</v>
      </c>
      <c r="B11" s="4" t="s">
        <v>14</v>
      </c>
    </row>
    <row r="12" customFormat="false" ht="15" hidden="false" customHeight="false" outlineLevel="0" collapsed="false">
      <c r="A12" s="3"/>
      <c r="B12" s="4"/>
    </row>
    <row r="13" customFormat="false" ht="15" hidden="false" customHeight="false" outlineLevel="0" collapsed="false">
      <c r="A13" s="5" t="s">
        <v>15</v>
      </c>
      <c r="B13" s="4"/>
    </row>
    <row r="14" customFormat="false" ht="15" hidden="false" customHeight="false" outlineLevel="0" collapsed="false">
      <c r="A14" s="3" t="s">
        <v>16</v>
      </c>
      <c r="B14" s="4" t="s">
        <v>17</v>
      </c>
    </row>
    <row r="15" customFormat="false" ht="15" hidden="false" customHeight="false" outlineLevel="0" collapsed="false">
      <c r="A15" s="3" t="s">
        <v>18</v>
      </c>
      <c r="B15" s="4" t="s">
        <v>19</v>
      </c>
    </row>
    <row r="16" customFormat="false" ht="15" hidden="false" customHeight="false" outlineLevel="0" collapsed="false">
      <c r="A16" s="3" t="s">
        <v>20</v>
      </c>
      <c r="B16" s="4" t="s">
        <v>21</v>
      </c>
    </row>
    <row r="17" customFormat="false" ht="15" hidden="false" customHeight="false" outlineLevel="0" collapsed="false">
      <c r="A17" s="3" t="s">
        <v>22</v>
      </c>
      <c r="B17" s="4" t="s">
        <v>23</v>
      </c>
    </row>
    <row r="18" customFormat="false" ht="15" hidden="false" customHeight="false" outlineLevel="0" collapsed="false">
      <c r="A18" s="3"/>
      <c r="B18" s="4"/>
    </row>
    <row r="19" customFormat="false" ht="23.85" hidden="false" customHeight="false" outlineLevel="0" collapsed="false">
      <c r="A19" s="5" t="s">
        <v>24</v>
      </c>
      <c r="B19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2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8"/>
    <col collapsed="false" customWidth="true" hidden="false" outlineLevel="0" max="13" min="12" style="0" width="20"/>
  </cols>
  <sheetData>
    <row r="1" customFormat="false" ht="17.35" hidden="false" customHeight="false" outlineLevel="0" collapsed="false">
      <c r="A1" s="6" t="s">
        <v>26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3" customFormat="false" ht="15" hidden="false" customHeight="false" outlineLevel="0" collapsed="false">
      <c r="A3" s="7" t="s">
        <v>27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36</v>
      </c>
      <c r="K3" s="7" t="s">
        <v>37</v>
      </c>
      <c r="L3" s="7" t="s">
        <v>38</v>
      </c>
      <c r="M3" s="7" t="s">
        <v>39</v>
      </c>
    </row>
    <row r="4" customFormat="false" ht="15" hidden="false" customHeight="false" outlineLevel="0" collapsed="false">
      <c r="A4" s="8" t="s">
        <v>40</v>
      </c>
      <c r="B4" s="8" t="s">
        <v>41</v>
      </c>
      <c r="C4" s="9" t="s">
        <v>42</v>
      </c>
      <c r="D4" s="8" t="n">
        <v>14</v>
      </c>
      <c r="E4" s="10" t="s">
        <v>43</v>
      </c>
      <c r="F4" s="8" t="n">
        <v>60</v>
      </c>
      <c r="G4" s="8" t="n">
        <f aca="false">ABS(D4-F4)</f>
        <v>46</v>
      </c>
      <c r="H4" s="11" t="n">
        <v>0.711</v>
      </c>
      <c r="I4" s="11" t="n">
        <v>0.192</v>
      </c>
      <c r="J4" s="11" t="n">
        <v>0.097</v>
      </c>
      <c r="K4" s="8" t="s">
        <v>44</v>
      </c>
      <c r="L4" s="9" t="s">
        <v>45</v>
      </c>
      <c r="M4" s="9" t="s">
        <v>42</v>
      </c>
    </row>
    <row r="5" customFormat="false" ht="15" hidden="false" customHeight="false" outlineLevel="0" collapsed="false">
      <c r="A5" s="8" t="s">
        <v>40</v>
      </c>
      <c r="B5" s="8" t="s">
        <v>46</v>
      </c>
      <c r="C5" s="9" t="s">
        <v>47</v>
      </c>
      <c r="D5" s="8" t="n">
        <v>25</v>
      </c>
      <c r="E5" s="10" t="s">
        <v>48</v>
      </c>
      <c r="F5" s="8" t="n">
        <v>40</v>
      </c>
      <c r="G5" s="8" t="n">
        <f aca="false">ABS(D5-F5)</f>
        <v>15</v>
      </c>
      <c r="H5" s="11" t="n">
        <v>0.46</v>
      </c>
      <c r="I5" s="11" t="n">
        <v>0.258</v>
      </c>
      <c r="J5" s="11" t="n">
        <v>0.282</v>
      </c>
      <c r="K5" s="8" t="s">
        <v>49</v>
      </c>
      <c r="L5" s="9" t="s">
        <v>50</v>
      </c>
      <c r="M5" s="9" t="s">
        <v>47</v>
      </c>
    </row>
    <row r="6" customFormat="false" ht="15" hidden="false" customHeight="false" outlineLevel="0" collapsed="false">
      <c r="A6" s="8" t="s">
        <v>40</v>
      </c>
      <c r="B6" s="8" t="s">
        <v>51</v>
      </c>
      <c r="C6" s="9" t="s">
        <v>48</v>
      </c>
      <c r="D6" s="8" t="n">
        <v>40</v>
      </c>
      <c r="E6" s="10" t="s">
        <v>43</v>
      </c>
      <c r="F6" s="8" t="n">
        <v>60</v>
      </c>
      <c r="G6" s="8" t="n">
        <f aca="false">ABS(D6-F6)</f>
        <v>20</v>
      </c>
      <c r="H6" s="11" t="n">
        <v>0.441</v>
      </c>
      <c r="I6" s="11" t="n">
        <v>0.26</v>
      </c>
      <c r="J6" s="11" t="n">
        <v>0.299</v>
      </c>
      <c r="K6" s="8" t="s">
        <v>49</v>
      </c>
      <c r="L6" s="9" t="s">
        <v>52</v>
      </c>
      <c r="M6" s="9" t="s">
        <v>48</v>
      </c>
    </row>
    <row r="7" customFormat="false" ht="15" hidden="false" customHeight="false" outlineLevel="0" collapsed="false">
      <c r="A7" s="8" t="s">
        <v>40</v>
      </c>
      <c r="B7" s="8" t="s">
        <v>53</v>
      </c>
      <c r="C7" s="9" t="s">
        <v>42</v>
      </c>
      <c r="D7" s="8" t="n">
        <v>14</v>
      </c>
      <c r="E7" s="10" t="s">
        <v>47</v>
      </c>
      <c r="F7" s="8" t="n">
        <v>25</v>
      </c>
      <c r="G7" s="8" t="n">
        <f aca="false">ABS(D7-F7)</f>
        <v>11</v>
      </c>
      <c r="H7" s="11" t="n">
        <v>0.548</v>
      </c>
      <c r="I7" s="11" t="n">
        <v>0.243</v>
      </c>
      <c r="J7" s="11" t="n">
        <v>0.209</v>
      </c>
      <c r="K7" s="8" t="s">
        <v>54</v>
      </c>
      <c r="L7" s="9" t="s">
        <v>45</v>
      </c>
      <c r="M7" s="9" t="s">
        <v>42</v>
      </c>
    </row>
    <row r="8" customFormat="false" ht="15" hidden="false" customHeight="false" outlineLevel="0" collapsed="false">
      <c r="A8" s="8" t="s">
        <v>40</v>
      </c>
      <c r="B8" s="8" t="s">
        <v>55</v>
      </c>
      <c r="C8" s="10" t="s">
        <v>48</v>
      </c>
      <c r="D8" s="8" t="n">
        <v>40</v>
      </c>
      <c r="E8" s="9" t="s">
        <v>42</v>
      </c>
      <c r="F8" s="8" t="n">
        <v>14</v>
      </c>
      <c r="G8" s="8" t="n">
        <f aca="false">ABS(D8-F8)</f>
        <v>26</v>
      </c>
      <c r="H8" s="11" t="n">
        <v>0.142</v>
      </c>
      <c r="I8" s="11" t="n">
        <v>0.217</v>
      </c>
      <c r="J8" s="11" t="n">
        <v>0.641</v>
      </c>
      <c r="K8" s="8" t="s">
        <v>56</v>
      </c>
      <c r="L8" s="9" t="s">
        <v>45</v>
      </c>
      <c r="M8" s="9" t="s">
        <v>42</v>
      </c>
    </row>
    <row r="9" customFormat="false" ht="15" hidden="false" customHeight="false" outlineLevel="0" collapsed="false">
      <c r="A9" s="8" t="s">
        <v>40</v>
      </c>
      <c r="B9" s="8" t="s">
        <v>55</v>
      </c>
      <c r="C9" s="10" t="s">
        <v>43</v>
      </c>
      <c r="D9" s="8" t="n">
        <v>60</v>
      </c>
      <c r="E9" s="9" t="s">
        <v>47</v>
      </c>
      <c r="F9" s="8" t="n">
        <v>25</v>
      </c>
      <c r="G9" s="8" t="n">
        <f aca="false">ABS(D9-F9)</f>
        <v>35</v>
      </c>
      <c r="H9" s="11" t="n">
        <v>0.219</v>
      </c>
      <c r="I9" s="11" t="n">
        <v>0.246</v>
      </c>
      <c r="J9" s="11" t="n">
        <v>0.535</v>
      </c>
      <c r="K9" s="8" t="s">
        <v>56</v>
      </c>
      <c r="L9" s="9" t="s">
        <v>50</v>
      </c>
      <c r="M9" s="9" t="s">
        <v>47</v>
      </c>
    </row>
    <row r="10" customFormat="false" ht="15" hidden="false" customHeight="false" outlineLevel="0" collapsed="false">
      <c r="A10" s="8" t="s">
        <v>57</v>
      </c>
      <c r="B10" s="8" t="s">
        <v>46</v>
      </c>
      <c r="C10" s="9" t="s">
        <v>58</v>
      </c>
      <c r="D10" s="8" t="n">
        <v>30</v>
      </c>
      <c r="E10" s="10" t="s">
        <v>59</v>
      </c>
      <c r="F10" s="8" t="n">
        <v>64</v>
      </c>
      <c r="G10" s="8" t="n">
        <f aca="false">ABS(D10-F10)</f>
        <v>34</v>
      </c>
      <c r="H10" s="11" t="n">
        <v>0.58</v>
      </c>
      <c r="I10" s="11" t="n">
        <v>0.235</v>
      </c>
      <c r="J10" s="11" t="n">
        <v>0.185</v>
      </c>
      <c r="K10" s="8" t="s">
        <v>54</v>
      </c>
      <c r="L10" s="9" t="s">
        <v>60</v>
      </c>
      <c r="M10" s="9" t="s">
        <v>58</v>
      </c>
    </row>
    <row r="11" customFormat="false" ht="15" hidden="false" customHeight="false" outlineLevel="0" collapsed="false">
      <c r="A11" s="8" t="s">
        <v>57</v>
      </c>
      <c r="B11" s="8" t="s">
        <v>61</v>
      </c>
      <c r="C11" s="10" t="s">
        <v>62</v>
      </c>
      <c r="D11" s="8" t="n">
        <v>56</v>
      </c>
      <c r="E11" s="9" t="s">
        <v>63</v>
      </c>
      <c r="F11" s="8" t="n">
        <v>19</v>
      </c>
      <c r="G11" s="8" t="n">
        <f aca="false">ABS(D11-F11)</f>
        <v>37</v>
      </c>
      <c r="H11" s="11" t="n">
        <v>0.177</v>
      </c>
      <c r="I11" s="11" t="n">
        <v>0.232</v>
      </c>
      <c r="J11" s="11" t="n">
        <v>0.59</v>
      </c>
      <c r="K11" s="8" t="s">
        <v>56</v>
      </c>
      <c r="L11" s="9" t="s">
        <v>64</v>
      </c>
      <c r="M11" s="9" t="s">
        <v>63</v>
      </c>
    </row>
    <row r="12" customFormat="false" ht="15" hidden="false" customHeight="false" outlineLevel="0" collapsed="false">
      <c r="A12" s="8" t="s">
        <v>57</v>
      </c>
      <c r="B12" s="8" t="s">
        <v>51</v>
      </c>
      <c r="C12" s="9" t="s">
        <v>63</v>
      </c>
      <c r="D12" s="8" t="n">
        <v>19</v>
      </c>
      <c r="E12" s="10" t="s">
        <v>59</v>
      </c>
      <c r="F12" s="8" t="n">
        <v>64</v>
      </c>
      <c r="G12" s="8" t="n">
        <f aca="false">ABS(D12-F12)</f>
        <v>45</v>
      </c>
      <c r="H12" s="11" t="n">
        <v>0.618</v>
      </c>
      <c r="I12" s="11" t="n">
        <v>0.225</v>
      </c>
      <c r="J12" s="11" t="n">
        <v>0.158</v>
      </c>
      <c r="K12" s="8" t="s">
        <v>54</v>
      </c>
      <c r="L12" s="9" t="s">
        <v>64</v>
      </c>
      <c r="M12" s="9" t="s">
        <v>63</v>
      </c>
    </row>
    <row r="13" customFormat="false" ht="15" hidden="false" customHeight="false" outlineLevel="0" collapsed="false">
      <c r="A13" s="8" t="s">
        <v>57</v>
      </c>
      <c r="B13" s="8" t="s">
        <v>51</v>
      </c>
      <c r="C13" s="9" t="s">
        <v>58</v>
      </c>
      <c r="D13" s="8" t="n">
        <v>30</v>
      </c>
      <c r="E13" s="10" t="s">
        <v>62</v>
      </c>
      <c r="F13" s="8" t="n">
        <v>56</v>
      </c>
      <c r="G13" s="8" t="n">
        <f aca="false">ABS(D13-F13)</f>
        <v>26</v>
      </c>
      <c r="H13" s="11" t="n">
        <v>0.553</v>
      </c>
      <c r="I13" s="11" t="n">
        <v>0.242</v>
      </c>
      <c r="J13" s="11" t="n">
        <v>0.206</v>
      </c>
      <c r="K13" s="8" t="s">
        <v>54</v>
      </c>
      <c r="L13" s="9" t="s">
        <v>60</v>
      </c>
      <c r="M13" s="9" t="s">
        <v>58</v>
      </c>
    </row>
    <row r="14" customFormat="false" ht="15" hidden="false" customHeight="false" outlineLevel="0" collapsed="false">
      <c r="A14" s="8" t="s">
        <v>57</v>
      </c>
      <c r="B14" s="8" t="s">
        <v>65</v>
      </c>
      <c r="C14" s="10" t="s">
        <v>63</v>
      </c>
      <c r="D14" s="8" t="n">
        <v>19</v>
      </c>
      <c r="E14" s="10" t="s">
        <v>58</v>
      </c>
      <c r="F14" s="8" t="n">
        <v>30</v>
      </c>
      <c r="G14" s="8" t="n">
        <f aca="false">ABS(D14-F14)</f>
        <v>11</v>
      </c>
      <c r="H14" s="11" t="n">
        <v>0.405</v>
      </c>
      <c r="I14" s="11" t="n">
        <v>0.263</v>
      </c>
      <c r="J14" s="11" t="n">
        <v>0.332</v>
      </c>
      <c r="K14" s="12" t="s">
        <v>49</v>
      </c>
      <c r="L14" s="13" t="s">
        <v>66</v>
      </c>
      <c r="M14" s="13" t="s">
        <v>67</v>
      </c>
    </row>
    <row r="15" customFormat="false" ht="15" hidden="false" customHeight="false" outlineLevel="0" collapsed="false">
      <c r="A15" s="8" t="s">
        <v>57</v>
      </c>
      <c r="B15" s="8" t="s">
        <v>65</v>
      </c>
      <c r="C15" s="10" t="s">
        <v>59</v>
      </c>
      <c r="D15" s="8" t="n">
        <v>64</v>
      </c>
      <c r="E15" s="10" t="s">
        <v>62</v>
      </c>
      <c r="F15" s="8" t="n">
        <v>56</v>
      </c>
      <c r="G15" s="8" t="n">
        <f aca="false">ABS(D15-F15)</f>
        <v>8</v>
      </c>
      <c r="H15" s="11" t="n">
        <v>0.342</v>
      </c>
      <c r="I15" s="11" t="n">
        <v>0.263</v>
      </c>
      <c r="J15" s="11" t="n">
        <v>0.395</v>
      </c>
      <c r="K15" s="12" t="s">
        <v>49</v>
      </c>
      <c r="L15" s="13" t="s">
        <v>66</v>
      </c>
      <c r="M15" s="13" t="s">
        <v>67</v>
      </c>
    </row>
    <row r="16" customFormat="false" ht="15" hidden="false" customHeight="false" outlineLevel="0" collapsed="false">
      <c r="A16" s="8" t="s">
        <v>68</v>
      </c>
      <c r="B16" s="8" t="s">
        <v>61</v>
      </c>
      <c r="C16" s="9" t="s">
        <v>69</v>
      </c>
      <c r="D16" s="8" t="n">
        <v>17</v>
      </c>
      <c r="E16" s="10" t="s">
        <v>70</v>
      </c>
      <c r="F16" s="8" t="n">
        <v>41</v>
      </c>
      <c r="G16" s="8" t="n">
        <f aca="false">ABS(D16-F16)</f>
        <v>24</v>
      </c>
      <c r="H16" s="11" t="n">
        <v>0.624</v>
      </c>
      <c r="I16" s="11" t="n">
        <v>0.223</v>
      </c>
      <c r="J16" s="11" t="n">
        <v>0.153</v>
      </c>
      <c r="K16" s="8" t="s">
        <v>54</v>
      </c>
      <c r="L16" s="9" t="s">
        <v>71</v>
      </c>
      <c r="M16" s="9" t="s">
        <v>69</v>
      </c>
    </row>
    <row r="17" customFormat="false" ht="15" hidden="false" customHeight="false" outlineLevel="0" collapsed="false">
      <c r="A17" s="8" t="s">
        <v>68</v>
      </c>
      <c r="B17" s="8" t="s">
        <v>72</v>
      </c>
      <c r="C17" s="10" t="s">
        <v>73</v>
      </c>
      <c r="D17" s="8" t="n">
        <v>27</v>
      </c>
      <c r="E17" s="10" t="s">
        <v>74</v>
      </c>
      <c r="F17" s="8" t="n">
        <v>22</v>
      </c>
      <c r="G17" s="8" t="n">
        <f aca="false">ABS(D17-F17)</f>
        <v>5</v>
      </c>
      <c r="H17" s="11" t="n">
        <v>0.345</v>
      </c>
      <c r="I17" s="11" t="n">
        <v>0.264</v>
      </c>
      <c r="J17" s="11" t="n">
        <v>0.392</v>
      </c>
      <c r="K17" s="12" t="s">
        <v>49</v>
      </c>
      <c r="L17" s="13" t="s">
        <v>66</v>
      </c>
      <c r="M17" s="13" t="s">
        <v>67</v>
      </c>
    </row>
    <row r="18" customFormat="false" ht="15" hidden="false" customHeight="false" outlineLevel="0" collapsed="false">
      <c r="A18" s="8" t="s">
        <v>68</v>
      </c>
      <c r="B18" s="8" t="s">
        <v>53</v>
      </c>
      <c r="C18" s="9" t="s">
        <v>69</v>
      </c>
      <c r="D18" s="8" t="n">
        <v>17</v>
      </c>
      <c r="E18" s="10" t="s">
        <v>73</v>
      </c>
      <c r="F18" s="8" t="n">
        <v>27</v>
      </c>
      <c r="G18" s="8" t="n">
        <f aca="false">ABS(D18-F18)</f>
        <v>10</v>
      </c>
      <c r="H18" s="11" t="n">
        <v>0.536</v>
      </c>
      <c r="I18" s="11" t="n">
        <v>0.246</v>
      </c>
      <c r="J18" s="11" t="n">
        <v>0.219</v>
      </c>
      <c r="K18" s="8" t="s">
        <v>54</v>
      </c>
      <c r="L18" s="9" t="s">
        <v>71</v>
      </c>
      <c r="M18" s="9" t="s">
        <v>69</v>
      </c>
    </row>
    <row r="19" customFormat="false" ht="15" hidden="false" customHeight="false" outlineLevel="0" collapsed="false">
      <c r="A19" s="8" t="s">
        <v>68</v>
      </c>
      <c r="B19" s="8" t="s">
        <v>75</v>
      </c>
      <c r="C19" s="9" t="s">
        <v>74</v>
      </c>
      <c r="D19" s="8" t="n">
        <v>22</v>
      </c>
      <c r="E19" s="10" t="s">
        <v>70</v>
      </c>
      <c r="F19" s="8" t="n">
        <v>41</v>
      </c>
      <c r="G19" s="8" t="n">
        <f aca="false">ABS(D19-F19)</f>
        <v>19</v>
      </c>
      <c r="H19" s="11" t="n">
        <v>0.48</v>
      </c>
      <c r="I19" s="11" t="n">
        <v>0.256</v>
      </c>
      <c r="J19" s="11" t="n">
        <v>0.265</v>
      </c>
      <c r="K19" s="8" t="s">
        <v>49</v>
      </c>
      <c r="L19" s="9" t="s">
        <v>76</v>
      </c>
      <c r="M19" s="9" t="s">
        <v>74</v>
      </c>
    </row>
    <row r="20" customFormat="false" ht="15" hidden="false" customHeight="false" outlineLevel="0" collapsed="false">
      <c r="A20" s="8" t="s">
        <v>68</v>
      </c>
      <c r="B20" s="8" t="s">
        <v>77</v>
      </c>
      <c r="C20" s="10" t="s">
        <v>74</v>
      </c>
      <c r="D20" s="8" t="n">
        <v>22</v>
      </c>
      <c r="E20" s="9" t="s">
        <v>69</v>
      </c>
      <c r="F20" s="8" t="n">
        <v>17</v>
      </c>
      <c r="G20" s="8" t="n">
        <f aca="false">ABS(D20-F20)</f>
        <v>5</v>
      </c>
      <c r="H20" s="11" t="n">
        <v>0.238</v>
      </c>
      <c r="I20" s="11" t="n">
        <v>0.25</v>
      </c>
      <c r="J20" s="11" t="n">
        <v>0.511</v>
      </c>
      <c r="K20" s="8" t="s">
        <v>49</v>
      </c>
      <c r="L20" s="9" t="s">
        <v>71</v>
      </c>
      <c r="M20" s="9" t="s">
        <v>69</v>
      </c>
    </row>
    <row r="21" customFormat="false" ht="15" hidden="false" customHeight="false" outlineLevel="0" collapsed="false">
      <c r="A21" s="8" t="s">
        <v>68</v>
      </c>
      <c r="B21" s="8" t="s">
        <v>77</v>
      </c>
      <c r="C21" s="10" t="s">
        <v>70</v>
      </c>
      <c r="D21" s="8" t="n">
        <v>41</v>
      </c>
      <c r="E21" s="9" t="s">
        <v>73</v>
      </c>
      <c r="F21" s="8" t="n">
        <v>27</v>
      </c>
      <c r="G21" s="8" t="n">
        <f aca="false">ABS(D21-F21)</f>
        <v>14</v>
      </c>
      <c r="H21" s="11" t="n">
        <v>0.286</v>
      </c>
      <c r="I21" s="11" t="n">
        <v>0.259</v>
      </c>
      <c r="J21" s="11" t="n">
        <v>0.455</v>
      </c>
      <c r="K21" s="8" t="s">
        <v>49</v>
      </c>
      <c r="L21" s="9" t="s">
        <v>78</v>
      </c>
      <c r="M21" s="9" t="s">
        <v>73</v>
      </c>
    </row>
    <row r="22" customFormat="false" ht="15" hidden="false" customHeight="false" outlineLevel="0" collapsed="false">
      <c r="A22" s="8" t="s">
        <v>79</v>
      </c>
      <c r="B22" s="8" t="s">
        <v>61</v>
      </c>
      <c r="C22" s="10" t="s">
        <v>80</v>
      </c>
      <c r="D22" s="8" t="n">
        <v>6</v>
      </c>
      <c r="E22" s="10" t="s">
        <v>81</v>
      </c>
      <c r="F22" s="8" t="n">
        <v>7</v>
      </c>
      <c r="G22" s="8" t="n">
        <f aca="false">ABS(D22-F22)</f>
        <v>1</v>
      </c>
      <c r="H22" s="11" t="n">
        <v>0.371</v>
      </c>
      <c r="I22" s="11" t="n">
        <v>0.264</v>
      </c>
      <c r="J22" s="11" t="n">
        <v>0.365</v>
      </c>
      <c r="K22" s="12" t="s">
        <v>49</v>
      </c>
      <c r="L22" s="13" t="s">
        <v>66</v>
      </c>
      <c r="M22" s="13" t="s">
        <v>67</v>
      </c>
    </row>
    <row r="23" customFormat="false" ht="15" hidden="false" customHeight="false" outlineLevel="0" collapsed="false">
      <c r="A23" s="8" t="s">
        <v>79</v>
      </c>
      <c r="B23" s="8" t="s">
        <v>72</v>
      </c>
      <c r="C23" s="10" t="s">
        <v>82</v>
      </c>
      <c r="D23" s="8" t="n">
        <v>83</v>
      </c>
      <c r="E23" s="9" t="s">
        <v>83</v>
      </c>
      <c r="F23" s="8" t="n">
        <v>42</v>
      </c>
      <c r="G23" s="8" t="n">
        <f aca="false">ABS(D23-F23)</f>
        <v>41</v>
      </c>
      <c r="H23" s="11" t="n">
        <v>0.238</v>
      </c>
      <c r="I23" s="11" t="n">
        <v>0.25</v>
      </c>
      <c r="J23" s="11" t="n">
        <v>0.511</v>
      </c>
      <c r="K23" s="8" t="s">
        <v>49</v>
      </c>
      <c r="L23" s="9" t="s">
        <v>84</v>
      </c>
      <c r="M23" s="9" t="s">
        <v>83</v>
      </c>
    </row>
    <row r="24" customFormat="false" ht="15" hidden="false" customHeight="false" outlineLevel="0" collapsed="false">
      <c r="A24" s="8" t="s">
        <v>79</v>
      </c>
      <c r="B24" s="8" t="s">
        <v>53</v>
      </c>
      <c r="C24" s="10" t="s">
        <v>83</v>
      </c>
      <c r="D24" s="8" t="n">
        <v>42</v>
      </c>
      <c r="E24" s="9" t="s">
        <v>81</v>
      </c>
      <c r="F24" s="8" t="n">
        <v>7</v>
      </c>
      <c r="G24" s="8" t="n">
        <f aca="false">ABS(D24-F24)</f>
        <v>35</v>
      </c>
      <c r="H24" s="11" t="n">
        <v>0.131</v>
      </c>
      <c r="I24" s="11" t="n">
        <v>0.212</v>
      </c>
      <c r="J24" s="11" t="n">
        <v>0.658</v>
      </c>
      <c r="K24" s="8" t="s">
        <v>56</v>
      </c>
      <c r="L24" s="9" t="s">
        <v>85</v>
      </c>
      <c r="M24" s="9" t="s">
        <v>81</v>
      </c>
    </row>
    <row r="25" customFormat="false" ht="15" hidden="false" customHeight="false" outlineLevel="0" collapsed="false">
      <c r="A25" s="8" t="s">
        <v>79</v>
      </c>
      <c r="B25" s="8" t="s">
        <v>75</v>
      </c>
      <c r="C25" s="9" t="s">
        <v>80</v>
      </c>
      <c r="D25" s="8" t="n">
        <v>6</v>
      </c>
      <c r="E25" s="10" t="s">
        <v>82</v>
      </c>
      <c r="F25" s="8" t="n">
        <v>83</v>
      </c>
      <c r="G25" s="8" t="n">
        <f aca="false">ABS(D25-F25)</f>
        <v>77</v>
      </c>
      <c r="H25" s="11" t="n">
        <v>0.791</v>
      </c>
      <c r="I25" s="11" t="n">
        <v>0.156</v>
      </c>
      <c r="J25" s="11" t="n">
        <v>0.054</v>
      </c>
      <c r="K25" s="8" t="s">
        <v>44</v>
      </c>
      <c r="L25" s="9" t="s">
        <v>86</v>
      </c>
      <c r="M25" s="9" t="s">
        <v>80</v>
      </c>
    </row>
    <row r="26" customFormat="false" ht="15" hidden="false" customHeight="false" outlineLevel="0" collapsed="false">
      <c r="A26" s="8" t="s">
        <v>79</v>
      </c>
      <c r="B26" s="8" t="s">
        <v>65</v>
      </c>
      <c r="C26" s="9" t="s">
        <v>81</v>
      </c>
      <c r="D26" s="8" t="n">
        <v>7</v>
      </c>
      <c r="E26" s="10" t="s">
        <v>82</v>
      </c>
      <c r="F26" s="8" t="n">
        <v>83</v>
      </c>
      <c r="G26" s="8" t="n">
        <f aca="false">ABS(D26-F26)</f>
        <v>76</v>
      </c>
      <c r="H26" s="11" t="n">
        <v>0.788</v>
      </c>
      <c r="I26" s="11" t="n">
        <v>0.157</v>
      </c>
      <c r="J26" s="11" t="n">
        <v>0.055</v>
      </c>
      <c r="K26" s="8" t="s">
        <v>44</v>
      </c>
      <c r="L26" s="9" t="s">
        <v>85</v>
      </c>
      <c r="M26" s="9" t="s">
        <v>81</v>
      </c>
    </row>
    <row r="27" customFormat="false" ht="15" hidden="false" customHeight="false" outlineLevel="0" collapsed="false">
      <c r="A27" s="8" t="s">
        <v>79</v>
      </c>
      <c r="B27" s="8" t="s">
        <v>65</v>
      </c>
      <c r="C27" s="10" t="s">
        <v>83</v>
      </c>
      <c r="D27" s="8" t="n">
        <v>42</v>
      </c>
      <c r="E27" s="9" t="s">
        <v>80</v>
      </c>
      <c r="F27" s="8" t="n">
        <v>6</v>
      </c>
      <c r="G27" s="8" t="n">
        <f aca="false">ABS(D27-F27)</f>
        <v>36</v>
      </c>
      <c r="H27" s="11" t="n">
        <v>0.128</v>
      </c>
      <c r="I27" s="11" t="n">
        <v>0.21</v>
      </c>
      <c r="J27" s="11" t="n">
        <v>0.661</v>
      </c>
      <c r="K27" s="8" t="s">
        <v>56</v>
      </c>
      <c r="L27" s="9" t="s">
        <v>86</v>
      </c>
      <c r="M27" s="9" t="s">
        <v>80</v>
      </c>
    </row>
    <row r="28" customFormat="false" ht="15" hidden="false" customHeight="false" outlineLevel="0" collapsed="false">
      <c r="A28" s="8" t="s">
        <v>87</v>
      </c>
      <c r="B28" s="8" t="s">
        <v>72</v>
      </c>
      <c r="C28" s="9" t="s">
        <v>88</v>
      </c>
      <c r="D28" s="8" t="n">
        <v>10</v>
      </c>
      <c r="E28" s="10" t="s">
        <v>89</v>
      </c>
      <c r="F28" s="8" t="n">
        <v>82</v>
      </c>
      <c r="G28" s="8" t="n">
        <f aca="false">ABS(D28-F28)</f>
        <v>72</v>
      </c>
      <c r="H28" s="11" t="n">
        <v>0.759</v>
      </c>
      <c r="I28" s="11" t="n">
        <v>0.171</v>
      </c>
      <c r="J28" s="11" t="n">
        <v>0.07</v>
      </c>
      <c r="K28" s="8" t="s">
        <v>44</v>
      </c>
      <c r="L28" s="9" t="s">
        <v>90</v>
      </c>
      <c r="M28" s="9" t="s">
        <v>88</v>
      </c>
    </row>
    <row r="29" customFormat="false" ht="15" hidden="false" customHeight="false" outlineLevel="0" collapsed="false">
      <c r="A29" s="8" t="s">
        <v>87</v>
      </c>
      <c r="B29" s="8" t="s">
        <v>72</v>
      </c>
      <c r="C29" s="10" t="s">
        <v>91</v>
      </c>
      <c r="D29" s="8" t="n">
        <v>33</v>
      </c>
      <c r="E29" s="9" t="s">
        <v>92</v>
      </c>
      <c r="F29" s="8" t="n">
        <v>23</v>
      </c>
      <c r="G29" s="8" t="n">
        <f aca="false">ABS(D29-F29)</f>
        <v>10</v>
      </c>
      <c r="H29" s="11" t="n">
        <v>0.307</v>
      </c>
      <c r="I29" s="11" t="n">
        <v>0.261</v>
      </c>
      <c r="J29" s="11" t="n">
        <v>0.432</v>
      </c>
      <c r="K29" s="8" t="s">
        <v>49</v>
      </c>
      <c r="L29" s="9" t="s">
        <v>93</v>
      </c>
      <c r="M29" s="9" t="s">
        <v>92</v>
      </c>
    </row>
    <row r="30" customFormat="false" ht="15" hidden="false" customHeight="false" outlineLevel="0" collapsed="false">
      <c r="A30" s="8" t="s">
        <v>87</v>
      </c>
      <c r="B30" s="8" t="s">
        <v>75</v>
      </c>
      <c r="C30" s="9" t="s">
        <v>88</v>
      </c>
      <c r="D30" s="8" t="n">
        <v>10</v>
      </c>
      <c r="E30" s="10" t="s">
        <v>91</v>
      </c>
      <c r="F30" s="8" t="n">
        <v>33</v>
      </c>
      <c r="G30" s="8" t="n">
        <f aca="false">ABS(D30-F30)</f>
        <v>23</v>
      </c>
      <c r="H30" s="11" t="n">
        <v>0.584</v>
      </c>
      <c r="I30" s="11" t="n">
        <v>0.234</v>
      </c>
      <c r="J30" s="11" t="n">
        <v>0.182</v>
      </c>
      <c r="K30" s="8" t="s">
        <v>54</v>
      </c>
      <c r="L30" s="9" t="s">
        <v>90</v>
      </c>
      <c r="M30" s="9" t="s">
        <v>88</v>
      </c>
    </row>
    <row r="31" customFormat="false" ht="15" hidden="false" customHeight="false" outlineLevel="0" collapsed="false">
      <c r="A31" s="8" t="s">
        <v>87</v>
      </c>
      <c r="B31" s="8" t="s">
        <v>94</v>
      </c>
      <c r="C31" s="9" t="s">
        <v>92</v>
      </c>
      <c r="D31" s="8" t="n">
        <v>23</v>
      </c>
      <c r="E31" s="10" t="s">
        <v>89</v>
      </c>
      <c r="F31" s="8" t="n">
        <v>82</v>
      </c>
      <c r="G31" s="8" t="n">
        <f aca="false">ABS(D31-F31)</f>
        <v>59</v>
      </c>
      <c r="H31" s="11" t="n">
        <v>0.618</v>
      </c>
      <c r="I31" s="11" t="n">
        <v>0.225</v>
      </c>
      <c r="J31" s="11" t="n">
        <v>0.158</v>
      </c>
      <c r="K31" s="8" t="s">
        <v>54</v>
      </c>
      <c r="L31" s="9" t="s">
        <v>93</v>
      </c>
      <c r="M31" s="9" t="s">
        <v>92</v>
      </c>
    </row>
    <row r="32" customFormat="false" ht="15" hidden="false" customHeight="false" outlineLevel="0" collapsed="false">
      <c r="A32" s="8" t="s">
        <v>87</v>
      </c>
      <c r="B32" s="8" t="s">
        <v>55</v>
      </c>
      <c r="C32" s="10" t="s">
        <v>92</v>
      </c>
      <c r="D32" s="8" t="n">
        <v>23</v>
      </c>
      <c r="E32" s="9" t="s">
        <v>88</v>
      </c>
      <c r="F32" s="8" t="n">
        <v>10</v>
      </c>
      <c r="G32" s="8" t="n">
        <f aca="false">ABS(D32-F32)</f>
        <v>13</v>
      </c>
      <c r="H32" s="11" t="n">
        <v>0.233</v>
      </c>
      <c r="I32" s="11" t="n">
        <v>0.249</v>
      </c>
      <c r="J32" s="11" t="n">
        <v>0.518</v>
      </c>
      <c r="K32" s="8" t="s">
        <v>56</v>
      </c>
      <c r="L32" s="9" t="s">
        <v>90</v>
      </c>
      <c r="M32" s="9" t="s">
        <v>88</v>
      </c>
    </row>
    <row r="33" customFormat="false" ht="15" hidden="false" customHeight="false" outlineLevel="0" collapsed="false">
      <c r="A33" s="8" t="s">
        <v>87</v>
      </c>
      <c r="B33" s="8" t="s">
        <v>55</v>
      </c>
      <c r="C33" s="10" t="s">
        <v>89</v>
      </c>
      <c r="D33" s="8" t="n">
        <v>82</v>
      </c>
      <c r="E33" s="9" t="s">
        <v>91</v>
      </c>
      <c r="F33" s="8" t="n">
        <v>33</v>
      </c>
      <c r="G33" s="8" t="n">
        <f aca="false">ABS(D33-F33)</f>
        <v>49</v>
      </c>
      <c r="H33" s="11" t="n">
        <v>0.206</v>
      </c>
      <c r="I33" s="11" t="n">
        <v>0.242</v>
      </c>
      <c r="J33" s="11" t="n">
        <v>0.553</v>
      </c>
      <c r="K33" s="8" t="s">
        <v>56</v>
      </c>
      <c r="L33" s="9" t="s">
        <v>95</v>
      </c>
      <c r="M33" s="9" t="s">
        <v>91</v>
      </c>
    </row>
    <row r="34" customFormat="false" ht="15" hidden="false" customHeight="false" outlineLevel="0" collapsed="false">
      <c r="A34" s="8" t="s">
        <v>96</v>
      </c>
      <c r="B34" s="8" t="s">
        <v>72</v>
      </c>
      <c r="C34" s="9" t="s">
        <v>97</v>
      </c>
      <c r="D34" s="8" t="n">
        <v>8</v>
      </c>
      <c r="E34" s="10" t="s">
        <v>98</v>
      </c>
      <c r="F34" s="8" t="n">
        <v>18</v>
      </c>
      <c r="G34" s="8" t="n">
        <f aca="false">ABS(D34-F34)</f>
        <v>10</v>
      </c>
      <c r="H34" s="11" t="n">
        <v>0.473</v>
      </c>
      <c r="I34" s="11" t="n">
        <v>0.256</v>
      </c>
      <c r="J34" s="11" t="n">
        <v>0.27</v>
      </c>
      <c r="K34" s="8" t="s">
        <v>49</v>
      </c>
      <c r="L34" s="9" t="s">
        <v>99</v>
      </c>
      <c r="M34" s="9" t="s">
        <v>97</v>
      </c>
    </row>
    <row r="35" customFormat="false" ht="15" hidden="false" customHeight="false" outlineLevel="0" collapsed="false">
      <c r="A35" s="8" t="s">
        <v>96</v>
      </c>
      <c r="B35" s="8" t="s">
        <v>100</v>
      </c>
      <c r="C35" s="10" t="s">
        <v>101</v>
      </c>
      <c r="D35" s="8" t="n">
        <v>38</v>
      </c>
      <c r="E35" s="10" t="s">
        <v>102</v>
      </c>
      <c r="F35" s="8" t="n">
        <v>45</v>
      </c>
      <c r="G35" s="8" t="n">
        <f aca="false">ABS(D35-F35)</f>
        <v>7</v>
      </c>
      <c r="H35" s="11" t="n">
        <v>0.4</v>
      </c>
      <c r="I35" s="11" t="n">
        <v>0.263</v>
      </c>
      <c r="J35" s="11" t="n">
        <v>0.336</v>
      </c>
      <c r="K35" s="12" t="s">
        <v>49</v>
      </c>
      <c r="L35" s="13" t="s">
        <v>66</v>
      </c>
      <c r="M35" s="13" t="s">
        <v>67</v>
      </c>
    </row>
    <row r="36" customFormat="false" ht="15" hidden="false" customHeight="false" outlineLevel="0" collapsed="false">
      <c r="A36" s="8" t="s">
        <v>96</v>
      </c>
      <c r="B36" s="8" t="s">
        <v>75</v>
      </c>
      <c r="C36" s="9" t="s">
        <v>97</v>
      </c>
      <c r="D36" s="8" t="n">
        <v>8</v>
      </c>
      <c r="E36" s="10" t="s">
        <v>101</v>
      </c>
      <c r="F36" s="8" t="n">
        <v>38</v>
      </c>
      <c r="G36" s="8" t="n">
        <f aca="false">ABS(D36-F36)</f>
        <v>30</v>
      </c>
      <c r="H36" s="11" t="n">
        <v>0.635</v>
      </c>
      <c r="I36" s="11" t="n">
        <v>0.219</v>
      </c>
      <c r="J36" s="11" t="n">
        <v>0.146</v>
      </c>
      <c r="K36" s="8" t="s">
        <v>54</v>
      </c>
      <c r="L36" s="9" t="s">
        <v>99</v>
      </c>
      <c r="M36" s="9" t="s">
        <v>97</v>
      </c>
    </row>
    <row r="37" customFormat="false" ht="15" hidden="false" customHeight="false" outlineLevel="0" collapsed="false">
      <c r="A37" s="8" t="s">
        <v>96</v>
      </c>
      <c r="B37" s="8" t="s">
        <v>94</v>
      </c>
      <c r="C37" s="10" t="s">
        <v>102</v>
      </c>
      <c r="D37" s="8" t="n">
        <v>45</v>
      </c>
      <c r="E37" s="9" t="s">
        <v>98</v>
      </c>
      <c r="F37" s="8" t="n">
        <v>18</v>
      </c>
      <c r="G37" s="8" t="n">
        <f aca="false">ABS(D37-F37)</f>
        <v>27</v>
      </c>
      <c r="H37" s="11" t="n">
        <v>0.198</v>
      </c>
      <c r="I37" s="11" t="n">
        <v>0.24</v>
      </c>
      <c r="J37" s="11" t="n">
        <v>0.563</v>
      </c>
      <c r="K37" s="8" t="s">
        <v>56</v>
      </c>
      <c r="L37" s="9" t="s">
        <v>103</v>
      </c>
      <c r="M37" s="9" t="s">
        <v>98</v>
      </c>
    </row>
    <row r="38" customFormat="false" ht="15" hidden="false" customHeight="false" outlineLevel="0" collapsed="false">
      <c r="A38" s="8" t="s">
        <v>96</v>
      </c>
      <c r="B38" s="8" t="s">
        <v>55</v>
      </c>
      <c r="C38" s="9" t="s">
        <v>98</v>
      </c>
      <c r="D38" s="8" t="n">
        <v>18</v>
      </c>
      <c r="E38" s="10" t="s">
        <v>101</v>
      </c>
      <c r="F38" s="8" t="n">
        <v>38</v>
      </c>
      <c r="G38" s="8" t="n">
        <f aca="false">ABS(D38-F38)</f>
        <v>20</v>
      </c>
      <c r="H38" s="11" t="n">
        <v>0.529</v>
      </c>
      <c r="I38" s="11" t="n">
        <v>0.247</v>
      </c>
      <c r="J38" s="11" t="n">
        <v>0.224</v>
      </c>
      <c r="K38" s="8" t="s">
        <v>54</v>
      </c>
      <c r="L38" s="9" t="s">
        <v>103</v>
      </c>
      <c r="M38" s="9" t="s">
        <v>98</v>
      </c>
    </row>
    <row r="39" customFormat="false" ht="15" hidden="false" customHeight="false" outlineLevel="0" collapsed="false">
      <c r="A39" s="8" t="s">
        <v>96</v>
      </c>
      <c r="B39" s="8" t="s">
        <v>55</v>
      </c>
      <c r="C39" s="10" t="s">
        <v>102</v>
      </c>
      <c r="D39" s="8" t="n">
        <v>45</v>
      </c>
      <c r="E39" s="9" t="s">
        <v>97</v>
      </c>
      <c r="F39" s="8" t="n">
        <v>8</v>
      </c>
      <c r="G39" s="8" t="n">
        <f aca="false">ABS(D39-F39)</f>
        <v>37</v>
      </c>
      <c r="H39" s="11" t="n">
        <v>0.124</v>
      </c>
      <c r="I39" s="11" t="n">
        <v>0.208</v>
      </c>
      <c r="J39" s="11" t="n">
        <v>0.667</v>
      </c>
      <c r="K39" s="8" t="s">
        <v>56</v>
      </c>
      <c r="L39" s="9" t="s">
        <v>99</v>
      </c>
      <c r="M39" s="9" t="s">
        <v>97</v>
      </c>
    </row>
    <row r="40" customFormat="false" ht="15" hidden="false" customHeight="false" outlineLevel="0" collapsed="false">
      <c r="A40" s="8" t="s">
        <v>104</v>
      </c>
      <c r="B40" s="8" t="s">
        <v>100</v>
      </c>
      <c r="C40" s="10" t="s">
        <v>105</v>
      </c>
      <c r="D40" s="8" t="n">
        <v>61</v>
      </c>
      <c r="E40" s="9" t="s">
        <v>106</v>
      </c>
      <c r="F40" s="8" t="n">
        <v>16</v>
      </c>
      <c r="G40" s="8" t="n">
        <f aca="false">ABS(D40-F40)</f>
        <v>45</v>
      </c>
      <c r="H40" s="11" t="n">
        <v>0.145</v>
      </c>
      <c r="I40" s="11" t="n">
        <v>0.219</v>
      </c>
      <c r="J40" s="11" t="n">
        <v>0.636</v>
      </c>
      <c r="K40" s="8" t="s">
        <v>56</v>
      </c>
      <c r="L40" s="9" t="s">
        <v>107</v>
      </c>
      <c r="M40" s="9" t="s">
        <v>106</v>
      </c>
    </row>
    <row r="41" customFormat="false" ht="15" hidden="false" customHeight="false" outlineLevel="0" collapsed="false">
      <c r="A41" s="8" t="s">
        <v>104</v>
      </c>
      <c r="B41" s="8" t="s">
        <v>100</v>
      </c>
      <c r="C41" s="9" t="s">
        <v>108</v>
      </c>
      <c r="D41" s="8" t="n">
        <v>2</v>
      </c>
      <c r="E41" s="10" t="s">
        <v>109</v>
      </c>
      <c r="F41" s="8" t="n">
        <v>67</v>
      </c>
      <c r="G41" s="8" t="n">
        <f aca="false">ABS(D41-F41)</f>
        <v>65</v>
      </c>
      <c r="H41" s="11" t="n">
        <v>0.848</v>
      </c>
      <c r="I41" s="11" t="n">
        <v>0.125</v>
      </c>
      <c r="J41" s="11" t="n">
        <v>0.028</v>
      </c>
      <c r="K41" s="8" t="s">
        <v>44</v>
      </c>
      <c r="L41" s="9" t="s">
        <v>110</v>
      </c>
      <c r="M41" s="9" t="s">
        <v>108</v>
      </c>
    </row>
    <row r="42" customFormat="false" ht="15" hidden="false" customHeight="false" outlineLevel="0" collapsed="false">
      <c r="A42" s="8" t="s">
        <v>104</v>
      </c>
      <c r="B42" s="8" t="s">
        <v>94</v>
      </c>
      <c r="C42" s="9" t="s">
        <v>108</v>
      </c>
      <c r="D42" s="8" t="n">
        <v>2</v>
      </c>
      <c r="E42" s="10" t="s">
        <v>105</v>
      </c>
      <c r="F42" s="8" t="n">
        <v>61</v>
      </c>
      <c r="G42" s="8" t="n">
        <f aca="false">ABS(D42-F42)</f>
        <v>59</v>
      </c>
      <c r="H42" s="11" t="n">
        <v>0.833</v>
      </c>
      <c r="I42" s="11" t="n">
        <v>0.133</v>
      </c>
      <c r="J42" s="11" t="n">
        <v>0.034</v>
      </c>
      <c r="K42" s="8" t="s">
        <v>44</v>
      </c>
      <c r="L42" s="9" t="s">
        <v>110</v>
      </c>
      <c r="M42" s="9" t="s">
        <v>108</v>
      </c>
    </row>
    <row r="43" customFormat="false" ht="15" hidden="false" customHeight="false" outlineLevel="0" collapsed="false">
      <c r="A43" s="8" t="s">
        <v>104</v>
      </c>
      <c r="B43" s="8" t="s">
        <v>94</v>
      </c>
      <c r="C43" s="9" t="s">
        <v>106</v>
      </c>
      <c r="D43" s="8" t="n">
        <v>16</v>
      </c>
      <c r="E43" s="10" t="s">
        <v>109</v>
      </c>
      <c r="F43" s="8" t="n">
        <v>67</v>
      </c>
      <c r="G43" s="8" t="n">
        <f aca="false">ABS(D43-F43)</f>
        <v>51</v>
      </c>
      <c r="H43" s="11" t="n">
        <v>0.656</v>
      </c>
      <c r="I43" s="11" t="n">
        <v>0.212</v>
      </c>
      <c r="J43" s="11" t="n">
        <v>0.132</v>
      </c>
      <c r="K43" s="8" t="s">
        <v>54</v>
      </c>
      <c r="L43" s="9" t="s">
        <v>107</v>
      </c>
      <c r="M43" s="9" t="s">
        <v>106</v>
      </c>
    </row>
    <row r="44" customFormat="false" ht="15" hidden="false" customHeight="false" outlineLevel="0" collapsed="false">
      <c r="A44" s="8" t="s">
        <v>104</v>
      </c>
      <c r="B44" s="8" t="s">
        <v>111</v>
      </c>
      <c r="C44" s="10" t="s">
        <v>109</v>
      </c>
      <c r="D44" s="8" t="n">
        <v>67</v>
      </c>
      <c r="E44" s="10" t="s">
        <v>105</v>
      </c>
      <c r="F44" s="8" t="n">
        <v>61</v>
      </c>
      <c r="G44" s="8" t="n">
        <f aca="false">ABS(D44-F44)</f>
        <v>6</v>
      </c>
      <c r="H44" s="11" t="n">
        <v>0.349</v>
      </c>
      <c r="I44" s="11" t="n">
        <v>0.264</v>
      </c>
      <c r="J44" s="11" t="n">
        <v>0.387</v>
      </c>
      <c r="K44" s="12" t="s">
        <v>49</v>
      </c>
      <c r="L44" s="13" t="s">
        <v>66</v>
      </c>
      <c r="M44" s="13" t="s">
        <v>67</v>
      </c>
    </row>
    <row r="45" customFormat="false" ht="15" hidden="false" customHeight="false" outlineLevel="0" collapsed="false">
      <c r="A45" s="8" t="s">
        <v>104</v>
      </c>
      <c r="B45" s="8" t="s">
        <v>111</v>
      </c>
      <c r="C45" s="10" t="s">
        <v>106</v>
      </c>
      <c r="D45" s="8" t="n">
        <v>16</v>
      </c>
      <c r="E45" s="9" t="s">
        <v>108</v>
      </c>
      <c r="F45" s="8" t="n">
        <v>2</v>
      </c>
      <c r="G45" s="8" t="n">
        <f aca="false">ABS(D45-F45)</f>
        <v>14</v>
      </c>
      <c r="H45" s="11" t="n">
        <v>0.177</v>
      </c>
      <c r="I45" s="11" t="n">
        <v>0.232</v>
      </c>
      <c r="J45" s="11" t="n">
        <v>0.59</v>
      </c>
      <c r="K45" s="8" t="s">
        <v>56</v>
      </c>
      <c r="L45" s="9" t="s">
        <v>110</v>
      </c>
      <c r="M45" s="9" t="s">
        <v>108</v>
      </c>
    </row>
    <row r="46" customFormat="false" ht="15" hidden="false" customHeight="false" outlineLevel="0" collapsed="false">
      <c r="A46" s="8" t="s">
        <v>112</v>
      </c>
      <c r="B46" s="8" t="s">
        <v>100</v>
      </c>
      <c r="C46" s="9" t="s">
        <v>113</v>
      </c>
      <c r="D46" s="8" t="n">
        <v>9</v>
      </c>
      <c r="E46" s="10" t="s">
        <v>114</v>
      </c>
      <c r="F46" s="8" t="n">
        <v>29</v>
      </c>
      <c r="G46" s="8" t="n">
        <f aca="false">ABS(D46-F46)</f>
        <v>20</v>
      </c>
      <c r="H46" s="11" t="n">
        <v>0.562</v>
      </c>
      <c r="I46" s="11" t="n">
        <v>0.24</v>
      </c>
      <c r="J46" s="11" t="n">
        <v>0.199</v>
      </c>
      <c r="K46" s="8" t="s">
        <v>54</v>
      </c>
      <c r="L46" s="9" t="s">
        <v>115</v>
      </c>
      <c r="M46" s="9" t="s">
        <v>113</v>
      </c>
    </row>
    <row r="47" customFormat="false" ht="15" hidden="false" customHeight="false" outlineLevel="0" collapsed="false">
      <c r="A47" s="8" t="s">
        <v>112</v>
      </c>
      <c r="B47" s="8" t="s">
        <v>116</v>
      </c>
      <c r="C47" s="9" t="s">
        <v>117</v>
      </c>
      <c r="D47" s="8" t="n">
        <v>20</v>
      </c>
      <c r="E47" s="10" t="s">
        <v>118</v>
      </c>
      <c r="F47" s="8" t="n">
        <v>85</v>
      </c>
      <c r="G47" s="8" t="n">
        <f aca="false">ABS(D47-F47)</f>
        <v>65</v>
      </c>
      <c r="H47" s="11" t="n">
        <v>0.662</v>
      </c>
      <c r="I47" s="11" t="n">
        <v>0.21</v>
      </c>
      <c r="J47" s="11" t="n">
        <v>0.128</v>
      </c>
      <c r="K47" s="8" t="s">
        <v>54</v>
      </c>
      <c r="L47" s="9" t="s">
        <v>119</v>
      </c>
      <c r="M47" s="9" t="s">
        <v>117</v>
      </c>
    </row>
    <row r="48" customFormat="false" ht="15" hidden="false" customHeight="false" outlineLevel="0" collapsed="false">
      <c r="A48" s="8" t="s">
        <v>112</v>
      </c>
      <c r="B48" s="8" t="s">
        <v>94</v>
      </c>
      <c r="C48" s="9" t="s">
        <v>113</v>
      </c>
      <c r="D48" s="8" t="n">
        <v>9</v>
      </c>
      <c r="E48" s="10" t="s">
        <v>117</v>
      </c>
      <c r="F48" s="8" t="n">
        <v>20</v>
      </c>
      <c r="G48" s="8" t="n">
        <f aca="false">ABS(D48-F48)</f>
        <v>11</v>
      </c>
      <c r="H48" s="11" t="n">
        <v>0.489</v>
      </c>
      <c r="I48" s="11" t="n">
        <v>0.254</v>
      </c>
      <c r="J48" s="11" t="n">
        <v>0.257</v>
      </c>
      <c r="K48" s="8" t="s">
        <v>49</v>
      </c>
      <c r="L48" s="9" t="s">
        <v>115</v>
      </c>
      <c r="M48" s="9" t="s">
        <v>113</v>
      </c>
    </row>
    <row r="49" customFormat="false" ht="15" hidden="false" customHeight="false" outlineLevel="0" collapsed="false">
      <c r="A49" s="8" t="s">
        <v>112</v>
      </c>
      <c r="B49" s="8" t="s">
        <v>120</v>
      </c>
      <c r="C49" s="10" t="s">
        <v>118</v>
      </c>
      <c r="D49" s="8" t="n">
        <v>85</v>
      </c>
      <c r="E49" s="9" t="s">
        <v>114</v>
      </c>
      <c r="F49" s="8" t="n">
        <v>29</v>
      </c>
      <c r="G49" s="8" t="n">
        <f aca="false">ABS(D49-F49)</f>
        <v>56</v>
      </c>
      <c r="H49" s="11" t="n">
        <v>0.176</v>
      </c>
      <c r="I49" s="11" t="n">
        <v>0.232</v>
      </c>
      <c r="J49" s="11" t="n">
        <v>0.591</v>
      </c>
      <c r="K49" s="8" t="s">
        <v>56</v>
      </c>
      <c r="L49" s="9" t="s">
        <v>121</v>
      </c>
      <c r="M49" s="9" t="s">
        <v>114</v>
      </c>
    </row>
    <row r="50" customFormat="false" ht="15" hidden="false" customHeight="false" outlineLevel="0" collapsed="false">
      <c r="A50" s="8" t="s">
        <v>112</v>
      </c>
      <c r="B50" s="8" t="s">
        <v>111</v>
      </c>
      <c r="C50" s="10" t="s">
        <v>114</v>
      </c>
      <c r="D50" s="8" t="n">
        <v>29</v>
      </c>
      <c r="E50" s="9" t="s">
        <v>117</v>
      </c>
      <c r="F50" s="8" t="n">
        <v>20</v>
      </c>
      <c r="G50" s="8" t="n">
        <f aca="false">ABS(D50-F50)</f>
        <v>9</v>
      </c>
      <c r="H50" s="11" t="n">
        <v>0.301</v>
      </c>
      <c r="I50" s="11" t="n">
        <v>0.26</v>
      </c>
      <c r="J50" s="11" t="n">
        <v>0.439</v>
      </c>
      <c r="K50" s="8" t="s">
        <v>49</v>
      </c>
      <c r="L50" s="9" t="s">
        <v>119</v>
      </c>
      <c r="M50" s="9" t="s">
        <v>117</v>
      </c>
    </row>
    <row r="51" customFormat="false" ht="15" hidden="false" customHeight="false" outlineLevel="0" collapsed="false">
      <c r="A51" s="8" t="s">
        <v>112</v>
      </c>
      <c r="B51" s="8" t="s">
        <v>111</v>
      </c>
      <c r="C51" s="10" t="s">
        <v>118</v>
      </c>
      <c r="D51" s="8" t="n">
        <v>85</v>
      </c>
      <c r="E51" s="9" t="s">
        <v>113</v>
      </c>
      <c r="F51" s="8" t="n">
        <v>9</v>
      </c>
      <c r="G51" s="8" t="n">
        <f aca="false">ABS(D51-F51)</f>
        <v>76</v>
      </c>
      <c r="H51" s="11" t="n">
        <v>0.063</v>
      </c>
      <c r="I51" s="11" t="n">
        <v>0.164</v>
      </c>
      <c r="J51" s="11" t="n">
        <v>0.773</v>
      </c>
      <c r="K51" s="8" t="s">
        <v>122</v>
      </c>
      <c r="L51" s="9" t="s">
        <v>115</v>
      </c>
      <c r="M51" s="9" t="s">
        <v>113</v>
      </c>
    </row>
    <row r="52" customFormat="false" ht="15" hidden="false" customHeight="false" outlineLevel="0" collapsed="false">
      <c r="A52" s="8" t="s">
        <v>123</v>
      </c>
      <c r="B52" s="8" t="s">
        <v>116</v>
      </c>
      <c r="C52" s="9" t="s">
        <v>124</v>
      </c>
      <c r="D52" s="8" t="n">
        <v>3</v>
      </c>
      <c r="E52" s="10" t="s">
        <v>125</v>
      </c>
      <c r="F52" s="8" t="n">
        <v>15</v>
      </c>
      <c r="G52" s="8" t="n">
        <f aca="false">ABS(D52-F52)</f>
        <v>12</v>
      </c>
      <c r="H52" s="11" t="n">
        <v>0.583</v>
      </c>
      <c r="I52" s="11" t="n">
        <v>0.234</v>
      </c>
      <c r="J52" s="11" t="n">
        <v>0.183</v>
      </c>
      <c r="K52" s="8" t="s">
        <v>54</v>
      </c>
      <c r="L52" s="9" t="s">
        <v>126</v>
      </c>
      <c r="M52" s="9" t="s">
        <v>124</v>
      </c>
    </row>
    <row r="53" customFormat="false" ht="15" hidden="false" customHeight="false" outlineLevel="0" collapsed="false">
      <c r="A53" s="8" t="s">
        <v>123</v>
      </c>
      <c r="B53" s="8" t="s">
        <v>116</v>
      </c>
      <c r="C53" s="10" t="s">
        <v>127</v>
      </c>
      <c r="D53" s="8" t="n">
        <v>57</v>
      </c>
      <c r="E53" s="9" t="s">
        <v>128</v>
      </c>
      <c r="F53" s="8" t="n">
        <v>31</v>
      </c>
      <c r="G53" s="8" t="n">
        <f aca="false">ABS(D53-F53)</f>
        <v>26</v>
      </c>
      <c r="H53" s="11" t="n">
        <v>0.264</v>
      </c>
      <c r="I53" s="11" t="n">
        <v>0.255</v>
      </c>
      <c r="J53" s="11" t="n">
        <v>0.481</v>
      </c>
      <c r="K53" s="8" t="s">
        <v>49</v>
      </c>
      <c r="L53" s="9" t="s">
        <v>129</v>
      </c>
      <c r="M53" s="9" t="s">
        <v>128</v>
      </c>
    </row>
    <row r="54" customFormat="false" ht="15" hidden="false" customHeight="false" outlineLevel="0" collapsed="false">
      <c r="A54" s="8" t="s">
        <v>123</v>
      </c>
      <c r="B54" s="8" t="s">
        <v>120</v>
      </c>
      <c r="C54" s="9" t="s">
        <v>124</v>
      </c>
      <c r="D54" s="8" t="n">
        <v>3</v>
      </c>
      <c r="E54" s="10" t="s">
        <v>127</v>
      </c>
      <c r="F54" s="8" t="n">
        <v>57</v>
      </c>
      <c r="G54" s="8" t="n">
        <f aca="false">ABS(D54-F54)</f>
        <v>54</v>
      </c>
      <c r="H54" s="11" t="n">
        <v>0.821</v>
      </c>
      <c r="I54" s="11" t="n">
        <v>0.14</v>
      </c>
      <c r="J54" s="11" t="n">
        <v>0.039</v>
      </c>
      <c r="K54" s="8" t="s">
        <v>44</v>
      </c>
      <c r="L54" s="9" t="s">
        <v>126</v>
      </c>
      <c r="M54" s="9" t="s">
        <v>124</v>
      </c>
    </row>
    <row r="55" customFormat="false" ht="15" hidden="false" customHeight="false" outlineLevel="0" collapsed="false">
      <c r="A55" s="8" t="s">
        <v>123</v>
      </c>
      <c r="B55" s="8" t="s">
        <v>130</v>
      </c>
      <c r="C55" s="10" t="s">
        <v>128</v>
      </c>
      <c r="D55" s="8" t="n">
        <v>31</v>
      </c>
      <c r="E55" s="9" t="s">
        <v>125</v>
      </c>
      <c r="F55" s="8" t="n">
        <v>15</v>
      </c>
      <c r="G55" s="8" t="n">
        <f aca="false">ABS(D55-F55)</f>
        <v>16</v>
      </c>
      <c r="H55" s="11" t="n">
        <v>0.236</v>
      </c>
      <c r="I55" s="11" t="n">
        <v>0.25</v>
      </c>
      <c r="J55" s="11" t="n">
        <v>0.515</v>
      </c>
      <c r="K55" s="8" t="s">
        <v>56</v>
      </c>
      <c r="L55" s="9" t="s">
        <v>131</v>
      </c>
      <c r="M55" s="9" t="s">
        <v>125</v>
      </c>
    </row>
    <row r="56" customFormat="false" ht="15" hidden="false" customHeight="false" outlineLevel="0" collapsed="false">
      <c r="A56" s="8" t="s">
        <v>123</v>
      </c>
      <c r="B56" s="8" t="s">
        <v>77</v>
      </c>
      <c r="C56" s="10" t="s">
        <v>128</v>
      </c>
      <c r="D56" s="8" t="n">
        <v>31</v>
      </c>
      <c r="E56" s="9" t="s">
        <v>124</v>
      </c>
      <c r="F56" s="8" t="n">
        <v>3</v>
      </c>
      <c r="G56" s="8" t="n">
        <f aca="false">ABS(D56-F56)</f>
        <v>28</v>
      </c>
      <c r="H56" s="11" t="n">
        <v>0.09</v>
      </c>
      <c r="I56" s="11" t="n">
        <v>0.186</v>
      </c>
      <c r="J56" s="11" t="n">
        <v>0.724</v>
      </c>
      <c r="K56" s="8" t="s">
        <v>122</v>
      </c>
      <c r="L56" s="9" t="s">
        <v>126</v>
      </c>
      <c r="M56" s="9" t="s">
        <v>124</v>
      </c>
    </row>
    <row r="57" customFormat="false" ht="15" hidden="false" customHeight="false" outlineLevel="0" collapsed="false">
      <c r="A57" s="8" t="s">
        <v>123</v>
      </c>
      <c r="B57" s="8" t="s">
        <v>77</v>
      </c>
      <c r="C57" s="9" t="s">
        <v>125</v>
      </c>
      <c r="D57" s="8" t="n">
        <v>15</v>
      </c>
      <c r="E57" s="10" t="s">
        <v>127</v>
      </c>
      <c r="F57" s="8" t="n">
        <v>57</v>
      </c>
      <c r="G57" s="8" t="n">
        <f aca="false">ABS(D57-F57)</f>
        <v>42</v>
      </c>
      <c r="H57" s="11" t="n">
        <v>0.629</v>
      </c>
      <c r="I57" s="11" t="n">
        <v>0.221</v>
      </c>
      <c r="J57" s="11" t="n">
        <v>0.15</v>
      </c>
      <c r="K57" s="8" t="s">
        <v>54</v>
      </c>
      <c r="L57" s="9" t="s">
        <v>131</v>
      </c>
      <c r="M57" s="9" t="s">
        <v>125</v>
      </c>
    </row>
    <row r="58" customFormat="false" ht="15" hidden="false" customHeight="false" outlineLevel="0" collapsed="false">
      <c r="A58" s="8" t="s">
        <v>132</v>
      </c>
      <c r="B58" s="8" t="s">
        <v>133</v>
      </c>
      <c r="C58" s="9" t="s">
        <v>134</v>
      </c>
      <c r="D58" s="8" t="n">
        <v>4</v>
      </c>
      <c r="E58" s="10" t="s">
        <v>135</v>
      </c>
      <c r="F58" s="8" t="n">
        <v>11</v>
      </c>
      <c r="G58" s="8" t="n">
        <f aca="false">ABS(D58-F58)</f>
        <v>7</v>
      </c>
      <c r="H58" s="11" t="n">
        <v>0.488</v>
      </c>
      <c r="I58" s="11" t="n">
        <v>0.254</v>
      </c>
      <c r="J58" s="11" t="n">
        <v>0.258</v>
      </c>
      <c r="K58" s="8" t="s">
        <v>49</v>
      </c>
      <c r="L58" s="9" t="s">
        <v>136</v>
      </c>
      <c r="M58" s="9" t="s">
        <v>134</v>
      </c>
    </row>
    <row r="59" customFormat="false" ht="15" hidden="false" customHeight="false" outlineLevel="0" collapsed="false">
      <c r="A59" s="8" t="s">
        <v>132</v>
      </c>
      <c r="B59" s="8" t="s">
        <v>133</v>
      </c>
      <c r="C59" s="10" t="s">
        <v>137</v>
      </c>
      <c r="D59" s="8" t="n">
        <v>73</v>
      </c>
      <c r="E59" s="9" t="s">
        <v>138</v>
      </c>
      <c r="F59" s="8" t="n">
        <v>34</v>
      </c>
      <c r="G59" s="8" t="n">
        <f aca="false">ABS(D59-F59)</f>
        <v>39</v>
      </c>
      <c r="H59" s="11" t="n">
        <v>0.235</v>
      </c>
      <c r="I59" s="11" t="n">
        <v>0.25</v>
      </c>
      <c r="J59" s="11" t="n">
        <v>0.516</v>
      </c>
      <c r="K59" s="8" t="s">
        <v>56</v>
      </c>
      <c r="L59" s="9" t="s">
        <v>139</v>
      </c>
      <c r="M59" s="9" t="s">
        <v>138</v>
      </c>
    </row>
    <row r="60" customFormat="false" ht="15" hidden="false" customHeight="false" outlineLevel="0" collapsed="false">
      <c r="A60" s="8" t="s">
        <v>132</v>
      </c>
      <c r="B60" s="8" t="s">
        <v>130</v>
      </c>
      <c r="C60" s="9" t="s">
        <v>134</v>
      </c>
      <c r="D60" s="8" t="n">
        <v>4</v>
      </c>
      <c r="E60" s="10" t="s">
        <v>137</v>
      </c>
      <c r="F60" s="8" t="n">
        <v>73</v>
      </c>
      <c r="G60" s="8" t="n">
        <f aca="false">ABS(D60-F60)</f>
        <v>69</v>
      </c>
      <c r="H60" s="11" t="n">
        <v>0.821</v>
      </c>
      <c r="I60" s="11" t="n">
        <v>0.14</v>
      </c>
      <c r="J60" s="11" t="n">
        <v>0.039</v>
      </c>
      <c r="K60" s="8" t="s">
        <v>44</v>
      </c>
      <c r="L60" s="9" t="s">
        <v>136</v>
      </c>
      <c r="M60" s="9" t="s">
        <v>134</v>
      </c>
    </row>
    <row r="61" customFormat="false" ht="15" hidden="false" customHeight="false" outlineLevel="0" collapsed="false">
      <c r="A61" s="8" t="s">
        <v>132</v>
      </c>
      <c r="B61" s="8" t="s">
        <v>130</v>
      </c>
      <c r="C61" s="10" t="s">
        <v>138</v>
      </c>
      <c r="D61" s="8" t="n">
        <v>34</v>
      </c>
      <c r="E61" s="9" t="s">
        <v>135</v>
      </c>
      <c r="F61" s="8" t="n">
        <v>11</v>
      </c>
      <c r="G61" s="8" t="n">
        <f aca="false">ABS(D61-F61)</f>
        <v>23</v>
      </c>
      <c r="H61" s="11" t="n">
        <v>0.189</v>
      </c>
      <c r="I61" s="11" t="n">
        <v>0.237</v>
      </c>
      <c r="J61" s="11" t="n">
        <v>0.575</v>
      </c>
      <c r="K61" s="8" t="s">
        <v>56</v>
      </c>
      <c r="L61" s="9" t="s">
        <v>140</v>
      </c>
      <c r="M61" s="9" t="s">
        <v>135</v>
      </c>
    </row>
    <row r="62" customFormat="false" ht="15" hidden="false" customHeight="false" outlineLevel="0" collapsed="false">
      <c r="A62" s="8" t="s">
        <v>132</v>
      </c>
      <c r="B62" s="8" t="s">
        <v>111</v>
      </c>
      <c r="C62" s="9" t="s">
        <v>135</v>
      </c>
      <c r="D62" s="8" t="n">
        <v>11</v>
      </c>
      <c r="E62" s="10" t="s">
        <v>137</v>
      </c>
      <c r="F62" s="8" t="n">
        <v>73</v>
      </c>
      <c r="G62" s="8" t="n">
        <f aca="false">ABS(D62-F62)</f>
        <v>62</v>
      </c>
      <c r="H62" s="11" t="n">
        <v>0.718</v>
      </c>
      <c r="I62" s="11" t="n">
        <v>0.189</v>
      </c>
      <c r="J62" s="11" t="n">
        <v>0.093</v>
      </c>
      <c r="K62" s="8" t="s">
        <v>44</v>
      </c>
      <c r="L62" s="9" t="s">
        <v>140</v>
      </c>
      <c r="M62" s="9" t="s">
        <v>135</v>
      </c>
    </row>
    <row r="63" customFormat="false" ht="15" hidden="false" customHeight="false" outlineLevel="0" collapsed="false">
      <c r="A63" s="8" t="s">
        <v>132</v>
      </c>
      <c r="B63" s="8" t="s">
        <v>111</v>
      </c>
      <c r="C63" s="10" t="s">
        <v>138</v>
      </c>
      <c r="D63" s="8" t="n">
        <v>34</v>
      </c>
      <c r="E63" s="9" t="s">
        <v>134</v>
      </c>
      <c r="F63" s="8" t="n">
        <v>4</v>
      </c>
      <c r="G63" s="8" t="n">
        <f aca="false">ABS(D63-F63)</f>
        <v>30</v>
      </c>
      <c r="H63" s="11" t="n">
        <v>0.109</v>
      </c>
      <c r="I63" s="11" t="n">
        <v>0.199</v>
      </c>
      <c r="J63" s="11" t="n">
        <v>0.693</v>
      </c>
      <c r="K63" s="8" t="s">
        <v>56</v>
      </c>
      <c r="L63" s="9" t="s">
        <v>136</v>
      </c>
      <c r="M63" s="9" t="s">
        <v>134</v>
      </c>
    </row>
    <row r="64" customFormat="false" ht="15" hidden="false" customHeight="false" outlineLevel="0" collapsed="false">
      <c r="A64" s="8" t="s">
        <v>141</v>
      </c>
      <c r="B64" s="8" t="s">
        <v>133</v>
      </c>
      <c r="C64" s="9" t="s">
        <v>142</v>
      </c>
      <c r="D64" s="8" t="n">
        <v>5</v>
      </c>
      <c r="E64" s="10" t="s">
        <v>143</v>
      </c>
      <c r="F64" s="8" t="n">
        <v>46</v>
      </c>
      <c r="G64" s="8" t="n">
        <f aca="false">ABS(D64-F64)</f>
        <v>41</v>
      </c>
      <c r="H64" s="11" t="n">
        <v>0.682</v>
      </c>
      <c r="I64" s="11" t="n">
        <v>0.203</v>
      </c>
      <c r="J64" s="11" t="n">
        <v>0.115</v>
      </c>
      <c r="K64" s="8" t="s">
        <v>54</v>
      </c>
      <c r="L64" s="9" t="s">
        <v>144</v>
      </c>
      <c r="M64" s="9" t="s">
        <v>142</v>
      </c>
    </row>
    <row r="65" customFormat="false" ht="15" hidden="false" customHeight="false" outlineLevel="0" collapsed="false">
      <c r="A65" s="8" t="s">
        <v>141</v>
      </c>
      <c r="B65" s="8" t="s">
        <v>51</v>
      </c>
      <c r="C65" s="10" t="s">
        <v>145</v>
      </c>
      <c r="D65" s="8" t="n">
        <v>50</v>
      </c>
      <c r="E65" s="9" t="s">
        <v>146</v>
      </c>
      <c r="F65" s="8" t="n">
        <v>13</v>
      </c>
      <c r="G65" s="8" t="n">
        <f aca="false">ABS(D65-F65)</f>
        <v>37</v>
      </c>
      <c r="H65" s="11" t="n">
        <v>0.156</v>
      </c>
      <c r="I65" s="11" t="n">
        <v>0.224</v>
      </c>
      <c r="J65" s="11" t="n">
        <v>0.62</v>
      </c>
      <c r="K65" s="8" t="s">
        <v>56</v>
      </c>
      <c r="L65" s="9" t="s">
        <v>147</v>
      </c>
      <c r="M65" s="9" t="s">
        <v>146</v>
      </c>
    </row>
    <row r="66" customFormat="false" ht="15" hidden="false" customHeight="false" outlineLevel="0" collapsed="false">
      <c r="A66" s="8" t="s">
        <v>141</v>
      </c>
      <c r="B66" s="8" t="s">
        <v>130</v>
      </c>
      <c r="C66" s="9" t="s">
        <v>142</v>
      </c>
      <c r="D66" s="8" t="n">
        <v>5</v>
      </c>
      <c r="E66" s="10" t="s">
        <v>145</v>
      </c>
      <c r="F66" s="8" t="n">
        <v>50</v>
      </c>
      <c r="G66" s="8" t="n">
        <f aca="false">ABS(D66-F66)</f>
        <v>45</v>
      </c>
      <c r="H66" s="11" t="n">
        <v>0.696</v>
      </c>
      <c r="I66" s="11" t="n">
        <v>0.198</v>
      </c>
      <c r="J66" s="11" t="n">
        <v>0.107</v>
      </c>
      <c r="K66" s="8" t="s">
        <v>54</v>
      </c>
      <c r="L66" s="9" t="s">
        <v>144</v>
      </c>
      <c r="M66" s="9" t="s">
        <v>142</v>
      </c>
    </row>
    <row r="67" customFormat="false" ht="15" hidden="false" customHeight="false" outlineLevel="0" collapsed="false">
      <c r="A67" s="8" t="s">
        <v>141</v>
      </c>
      <c r="B67" s="8" t="s">
        <v>65</v>
      </c>
      <c r="C67" s="9" t="s">
        <v>146</v>
      </c>
      <c r="D67" s="8" t="n">
        <v>13</v>
      </c>
      <c r="E67" s="10" t="s">
        <v>143</v>
      </c>
      <c r="F67" s="8" t="n">
        <v>46</v>
      </c>
      <c r="G67" s="8" t="n">
        <f aca="false">ABS(D67-F67)</f>
        <v>33</v>
      </c>
      <c r="H67" s="11" t="n">
        <v>0.606</v>
      </c>
      <c r="I67" s="11" t="n">
        <v>0.228</v>
      </c>
      <c r="J67" s="11" t="n">
        <v>0.166</v>
      </c>
      <c r="K67" s="8" t="s">
        <v>54</v>
      </c>
      <c r="L67" s="9" t="s">
        <v>147</v>
      </c>
      <c r="M67" s="9" t="s">
        <v>146</v>
      </c>
    </row>
    <row r="68" customFormat="false" ht="15" hidden="false" customHeight="false" outlineLevel="0" collapsed="false">
      <c r="A68" s="8" t="s">
        <v>141</v>
      </c>
      <c r="B68" s="8" t="s">
        <v>111</v>
      </c>
      <c r="C68" s="10" t="s">
        <v>146</v>
      </c>
      <c r="D68" s="8" t="n">
        <v>13</v>
      </c>
      <c r="E68" s="9" t="s">
        <v>142</v>
      </c>
      <c r="F68" s="8" t="n">
        <v>5</v>
      </c>
      <c r="G68" s="8" t="n">
        <f aca="false">ABS(D68-F68)</f>
        <v>8</v>
      </c>
      <c r="H68" s="11" t="n">
        <v>0.295</v>
      </c>
      <c r="I68" s="11" t="n">
        <v>0.26</v>
      </c>
      <c r="J68" s="11" t="n">
        <v>0.445</v>
      </c>
      <c r="K68" s="8" t="s">
        <v>49</v>
      </c>
      <c r="L68" s="9" t="s">
        <v>144</v>
      </c>
      <c r="M68" s="9" t="s">
        <v>142</v>
      </c>
    </row>
    <row r="69" customFormat="false" ht="15" hidden="false" customHeight="false" outlineLevel="0" collapsed="false">
      <c r="A69" s="8" t="s">
        <v>141</v>
      </c>
      <c r="B69" s="8" t="s">
        <v>111</v>
      </c>
      <c r="C69" s="10" t="s">
        <v>143</v>
      </c>
      <c r="D69" s="8" t="n">
        <v>46</v>
      </c>
      <c r="E69" s="10" t="s">
        <v>145</v>
      </c>
      <c r="F69" s="8" t="n">
        <v>50</v>
      </c>
      <c r="G69" s="8" t="n">
        <f aca="false">ABS(D69-F69)</f>
        <v>4</v>
      </c>
      <c r="H69" s="11" t="n">
        <v>0.382</v>
      </c>
      <c r="I69" s="11" t="n">
        <v>0.264</v>
      </c>
      <c r="J69" s="11" t="n">
        <v>0.354</v>
      </c>
      <c r="K69" s="12" t="s">
        <v>49</v>
      </c>
      <c r="L69" s="13" t="s">
        <v>66</v>
      </c>
      <c r="M69" s="13" t="s">
        <v>67</v>
      </c>
    </row>
    <row r="70" customFormat="false" ht="15" hidden="false" customHeight="false" outlineLevel="0" collapsed="false">
      <c r="A70" s="8" t="s">
        <v>148</v>
      </c>
      <c r="B70" s="8" t="s">
        <v>133</v>
      </c>
      <c r="C70" s="9" t="s">
        <v>149</v>
      </c>
      <c r="D70" s="8" t="n">
        <v>1</v>
      </c>
      <c r="E70" s="10" t="s">
        <v>150</v>
      </c>
      <c r="F70" s="8" t="n">
        <v>28</v>
      </c>
      <c r="G70" s="8" t="n">
        <f aca="false">ABS(D70-F70)</f>
        <v>27</v>
      </c>
      <c r="H70" s="11" t="n">
        <v>0.708</v>
      </c>
      <c r="I70" s="11" t="n">
        <v>0.193</v>
      </c>
      <c r="J70" s="11" t="n">
        <v>0.099</v>
      </c>
      <c r="K70" s="8" t="s">
        <v>44</v>
      </c>
      <c r="L70" s="9" t="s">
        <v>151</v>
      </c>
      <c r="M70" s="9" t="s">
        <v>149</v>
      </c>
    </row>
    <row r="71" customFormat="false" ht="15" hidden="false" customHeight="false" outlineLevel="0" collapsed="false">
      <c r="A71" s="8" t="s">
        <v>148</v>
      </c>
      <c r="B71" s="8" t="s">
        <v>133</v>
      </c>
      <c r="C71" s="9" t="s">
        <v>152</v>
      </c>
      <c r="D71" s="8" t="n">
        <v>24</v>
      </c>
      <c r="E71" s="10" t="s">
        <v>153</v>
      </c>
      <c r="F71" s="8" t="n">
        <v>63</v>
      </c>
      <c r="G71" s="8" t="n">
        <f aca="false">ABS(D71-F71)</f>
        <v>39</v>
      </c>
      <c r="H71" s="11" t="n">
        <v>0.549</v>
      </c>
      <c r="I71" s="11" t="n">
        <v>0.243</v>
      </c>
      <c r="J71" s="11" t="n">
        <v>0.208</v>
      </c>
      <c r="K71" s="8" t="s">
        <v>54</v>
      </c>
      <c r="L71" s="9" t="s">
        <v>154</v>
      </c>
      <c r="M71" s="9" t="s">
        <v>152</v>
      </c>
    </row>
    <row r="72" customFormat="false" ht="15" hidden="false" customHeight="false" outlineLevel="0" collapsed="false">
      <c r="A72" s="8" t="s">
        <v>148</v>
      </c>
      <c r="B72" s="8" t="s">
        <v>120</v>
      </c>
      <c r="C72" s="9" t="s">
        <v>149</v>
      </c>
      <c r="D72" s="8" t="n">
        <v>1</v>
      </c>
      <c r="E72" s="10" t="s">
        <v>152</v>
      </c>
      <c r="F72" s="8" t="n">
        <v>24</v>
      </c>
      <c r="G72" s="8" t="n">
        <f aca="false">ABS(D72-F72)</f>
        <v>23</v>
      </c>
      <c r="H72" s="11" t="n">
        <v>0.683</v>
      </c>
      <c r="I72" s="11" t="n">
        <v>0.202</v>
      </c>
      <c r="J72" s="11" t="n">
        <v>0.114</v>
      </c>
      <c r="K72" s="8" t="s">
        <v>54</v>
      </c>
      <c r="L72" s="9" t="s">
        <v>151</v>
      </c>
      <c r="M72" s="9" t="s">
        <v>149</v>
      </c>
    </row>
    <row r="73" customFormat="false" ht="15" hidden="false" customHeight="false" outlineLevel="0" collapsed="false">
      <c r="A73" s="8" t="s">
        <v>148</v>
      </c>
      <c r="B73" s="8" t="s">
        <v>130</v>
      </c>
      <c r="C73" s="10" t="s">
        <v>153</v>
      </c>
      <c r="D73" s="8" t="n">
        <v>63</v>
      </c>
      <c r="E73" s="9" t="s">
        <v>150</v>
      </c>
      <c r="F73" s="8" t="n">
        <v>28</v>
      </c>
      <c r="G73" s="8" t="n">
        <f aca="false">ABS(D73-F73)</f>
        <v>35</v>
      </c>
      <c r="H73" s="11" t="n">
        <v>0.229</v>
      </c>
      <c r="I73" s="11" t="n">
        <v>0.248</v>
      </c>
      <c r="J73" s="11" t="n">
        <v>0.522</v>
      </c>
      <c r="K73" s="8" t="s">
        <v>56</v>
      </c>
      <c r="L73" s="9" t="s">
        <v>155</v>
      </c>
      <c r="M73" s="9" t="s">
        <v>150</v>
      </c>
    </row>
    <row r="74" customFormat="false" ht="15" hidden="false" customHeight="false" outlineLevel="0" collapsed="false">
      <c r="A74" s="8" t="s">
        <v>148</v>
      </c>
      <c r="B74" s="8" t="s">
        <v>156</v>
      </c>
      <c r="C74" s="10" t="s">
        <v>150</v>
      </c>
      <c r="D74" s="8" t="n">
        <v>28</v>
      </c>
      <c r="E74" s="10" t="s">
        <v>152</v>
      </c>
      <c r="F74" s="8" t="n">
        <v>24</v>
      </c>
      <c r="G74" s="8" t="n">
        <f aca="false">ABS(D74-F74)</f>
        <v>4</v>
      </c>
      <c r="H74" s="11" t="n">
        <v>0.343</v>
      </c>
      <c r="I74" s="11" t="n">
        <v>0.263</v>
      </c>
      <c r="J74" s="11" t="n">
        <v>0.394</v>
      </c>
      <c r="K74" s="12" t="s">
        <v>49</v>
      </c>
      <c r="L74" s="13" t="s">
        <v>66</v>
      </c>
      <c r="M74" s="13" t="s">
        <v>67</v>
      </c>
    </row>
    <row r="75" customFormat="false" ht="15" hidden="false" customHeight="false" outlineLevel="0" collapsed="false">
      <c r="A75" s="8" t="s">
        <v>148</v>
      </c>
      <c r="B75" s="8" t="s">
        <v>156</v>
      </c>
      <c r="C75" s="10" t="s">
        <v>153</v>
      </c>
      <c r="D75" s="8" t="n">
        <v>63</v>
      </c>
      <c r="E75" s="9" t="s">
        <v>149</v>
      </c>
      <c r="F75" s="8" t="n">
        <v>1</v>
      </c>
      <c r="G75" s="8" t="n">
        <f aca="false">ABS(D75-F75)</f>
        <v>62</v>
      </c>
      <c r="H75" s="11" t="n">
        <v>0.031</v>
      </c>
      <c r="I75" s="11" t="n">
        <v>0.13</v>
      </c>
      <c r="J75" s="11" t="n">
        <v>0.839</v>
      </c>
      <c r="K75" s="8" t="s">
        <v>122</v>
      </c>
      <c r="L75" s="9" t="s">
        <v>151</v>
      </c>
      <c r="M75" s="9" t="s">
        <v>149</v>
      </c>
    </row>
  </sheetData>
  <autoFilter ref="A3:M75"/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7"/>
    <col collapsed="false" customWidth="true" hidden="false" outlineLevel="0" max="4" min="4" style="0" width="17"/>
    <col collapsed="false" customWidth="true" hidden="false" outlineLevel="0" max="7" min="5" style="0" width="13"/>
  </cols>
  <sheetData>
    <row r="1" customFormat="false" ht="17.35" hidden="false" customHeight="false" outlineLevel="0" collapsed="false">
      <c r="A1" s="6" t="s">
        <v>157</v>
      </c>
      <c r="B1" s="6"/>
      <c r="C1" s="6"/>
      <c r="D1" s="6"/>
      <c r="E1" s="6"/>
      <c r="F1" s="6"/>
      <c r="G1" s="6"/>
    </row>
    <row r="3" customFormat="false" ht="15" hidden="false" customHeight="false" outlineLevel="0" collapsed="false">
      <c r="A3" s="7" t="s">
        <v>27</v>
      </c>
      <c r="B3" s="7" t="s">
        <v>158</v>
      </c>
      <c r="C3" s="7" t="s">
        <v>159</v>
      </c>
      <c r="D3" s="7" t="s">
        <v>160</v>
      </c>
      <c r="E3" s="7" t="s">
        <v>161</v>
      </c>
      <c r="F3" s="7" t="s">
        <v>162</v>
      </c>
      <c r="G3" s="7" t="s">
        <v>162</v>
      </c>
    </row>
    <row r="4" customFormat="false" ht="15" hidden="false" customHeight="false" outlineLevel="0" collapsed="false">
      <c r="A4" s="8" t="s">
        <v>40</v>
      </c>
      <c r="B4" s="9" t="s">
        <v>42</v>
      </c>
      <c r="C4" s="8" t="n">
        <v>14</v>
      </c>
      <c r="D4" s="11" t="n">
        <v>0.617</v>
      </c>
      <c r="E4" s="11" t="n">
        <v>0.863</v>
      </c>
      <c r="F4" s="11" t="n">
        <v>0.95</v>
      </c>
      <c r="G4" s="14" t="n">
        <v>0.95</v>
      </c>
    </row>
    <row r="5" customFormat="false" ht="15" hidden="false" customHeight="false" outlineLevel="0" collapsed="false">
      <c r="A5" s="8" t="s">
        <v>40</v>
      </c>
      <c r="B5" s="9" t="s">
        <v>47</v>
      </c>
      <c r="C5" s="8" t="n">
        <v>25</v>
      </c>
      <c r="D5" s="11" t="n">
        <v>0.218</v>
      </c>
      <c r="E5" s="11" t="n">
        <v>0.565</v>
      </c>
      <c r="F5" s="11" t="n">
        <v>0.759</v>
      </c>
      <c r="G5" s="14" t="n">
        <v>0.759</v>
      </c>
    </row>
    <row r="6" customFormat="false" ht="15" hidden="false" customHeight="false" outlineLevel="0" collapsed="false">
      <c r="A6" s="8" t="s">
        <v>40</v>
      </c>
      <c r="B6" s="9" t="s">
        <v>48</v>
      </c>
      <c r="C6" s="8" t="n">
        <v>40</v>
      </c>
      <c r="D6" s="11" t="n">
        <v>0.109</v>
      </c>
      <c r="E6" s="11" t="n">
        <v>0.354</v>
      </c>
      <c r="F6" s="11" t="n">
        <v>0.579</v>
      </c>
      <c r="G6" s="14" t="n">
        <v>0.579</v>
      </c>
    </row>
    <row r="7" customFormat="false" ht="15" hidden="false" customHeight="false" outlineLevel="0" collapsed="false">
      <c r="A7" s="8" t="s">
        <v>40</v>
      </c>
      <c r="B7" s="13" t="s">
        <v>43</v>
      </c>
      <c r="C7" s="8" t="n">
        <v>60</v>
      </c>
      <c r="D7" s="11" t="n">
        <v>0.057</v>
      </c>
      <c r="E7" s="11" t="n">
        <v>0.218</v>
      </c>
      <c r="F7" s="11" t="n">
        <v>0.4</v>
      </c>
      <c r="G7" s="15" t="n">
        <v>0.4</v>
      </c>
    </row>
    <row r="8" customFormat="false" ht="15" hidden="false" customHeight="false" outlineLevel="0" collapsed="false">
      <c r="A8" s="8" t="s">
        <v>57</v>
      </c>
      <c r="B8" s="9" t="s">
        <v>63</v>
      </c>
      <c r="C8" s="8" t="n">
        <v>19</v>
      </c>
      <c r="D8" s="11" t="n">
        <v>0.459</v>
      </c>
      <c r="E8" s="11" t="n">
        <v>0.76</v>
      </c>
      <c r="F8" s="11" t="n">
        <v>0.891</v>
      </c>
      <c r="G8" s="14" t="n">
        <v>0.891</v>
      </c>
    </row>
    <row r="9" customFormat="false" ht="15" hidden="false" customHeight="false" outlineLevel="0" collapsed="false">
      <c r="A9" s="8" t="s">
        <v>57</v>
      </c>
      <c r="B9" s="9" t="s">
        <v>58</v>
      </c>
      <c r="C9" s="8" t="n">
        <v>30</v>
      </c>
      <c r="D9" s="11" t="n">
        <v>0.363</v>
      </c>
      <c r="E9" s="11" t="n">
        <v>0.692</v>
      </c>
      <c r="F9" s="11" t="n">
        <v>0.853</v>
      </c>
      <c r="G9" s="14" t="n">
        <v>0.853</v>
      </c>
    </row>
    <row r="10" customFormat="false" ht="15" hidden="false" customHeight="false" outlineLevel="0" collapsed="false">
      <c r="A10" s="8" t="s">
        <v>57</v>
      </c>
      <c r="B10" s="13" t="s">
        <v>62</v>
      </c>
      <c r="C10" s="8" t="n">
        <v>56</v>
      </c>
      <c r="D10" s="11" t="n">
        <v>0.098</v>
      </c>
      <c r="E10" s="11" t="n">
        <v>0.299</v>
      </c>
      <c r="F10" s="11" t="n">
        <v>0.516</v>
      </c>
      <c r="G10" s="15" t="n">
        <v>0.516</v>
      </c>
    </row>
    <row r="11" customFormat="false" ht="15" hidden="false" customHeight="false" outlineLevel="0" collapsed="false">
      <c r="A11" s="8" t="s">
        <v>57</v>
      </c>
      <c r="B11" s="13" t="s">
        <v>59</v>
      </c>
      <c r="C11" s="8" t="n">
        <v>64</v>
      </c>
      <c r="D11" s="11" t="n">
        <v>0.08</v>
      </c>
      <c r="E11" s="11" t="n">
        <v>0.249</v>
      </c>
      <c r="F11" s="11" t="n">
        <v>0.452</v>
      </c>
      <c r="G11" s="15" t="n">
        <v>0.452</v>
      </c>
    </row>
    <row r="12" customFormat="false" ht="15" hidden="false" customHeight="false" outlineLevel="0" collapsed="false">
      <c r="A12" s="8" t="s">
        <v>68</v>
      </c>
      <c r="B12" s="9" t="s">
        <v>69</v>
      </c>
      <c r="C12" s="8" t="n">
        <v>17</v>
      </c>
      <c r="D12" s="11" t="n">
        <v>0.518</v>
      </c>
      <c r="E12" s="11" t="n">
        <v>0.782</v>
      </c>
      <c r="F12" s="11" t="n">
        <v>0.899</v>
      </c>
      <c r="G12" s="14" t="n">
        <v>0.899</v>
      </c>
    </row>
    <row r="13" customFormat="false" ht="15" hidden="false" customHeight="false" outlineLevel="0" collapsed="false">
      <c r="A13" s="8" t="s">
        <v>68</v>
      </c>
      <c r="B13" s="9" t="s">
        <v>74</v>
      </c>
      <c r="C13" s="8" t="n">
        <v>22</v>
      </c>
      <c r="D13" s="11" t="n">
        <v>0.215</v>
      </c>
      <c r="E13" s="11" t="n">
        <v>0.501</v>
      </c>
      <c r="F13" s="11" t="n">
        <v>0.706</v>
      </c>
      <c r="G13" s="14" t="n">
        <v>0.706</v>
      </c>
    </row>
    <row r="14" customFormat="false" ht="15" hidden="false" customHeight="false" outlineLevel="0" collapsed="false">
      <c r="A14" s="8" t="s">
        <v>68</v>
      </c>
      <c r="B14" s="9" t="s">
        <v>73</v>
      </c>
      <c r="C14" s="8" t="n">
        <v>27</v>
      </c>
      <c r="D14" s="11" t="n">
        <v>0.178</v>
      </c>
      <c r="E14" s="11" t="n">
        <v>0.447</v>
      </c>
      <c r="F14" s="11" t="n">
        <v>0.662</v>
      </c>
      <c r="G14" s="14" t="n">
        <v>0.662</v>
      </c>
    </row>
    <row r="15" customFormat="false" ht="15" hidden="false" customHeight="false" outlineLevel="0" collapsed="false">
      <c r="A15" s="8" t="s">
        <v>68</v>
      </c>
      <c r="B15" s="13" t="s">
        <v>70</v>
      </c>
      <c r="C15" s="8" t="n">
        <v>41</v>
      </c>
      <c r="D15" s="11" t="n">
        <v>0.089</v>
      </c>
      <c r="E15" s="11" t="n">
        <v>0.27</v>
      </c>
      <c r="F15" s="11" t="n">
        <v>0.458</v>
      </c>
      <c r="G15" s="15" t="n">
        <v>0.458</v>
      </c>
    </row>
    <row r="16" customFormat="false" ht="15" hidden="false" customHeight="false" outlineLevel="0" collapsed="false">
      <c r="A16" s="8" t="s">
        <v>79</v>
      </c>
      <c r="B16" s="9" t="s">
        <v>80</v>
      </c>
      <c r="C16" s="8" t="n">
        <v>6</v>
      </c>
      <c r="D16" s="11" t="n">
        <v>0.47</v>
      </c>
      <c r="E16" s="11" t="n">
        <v>0.853</v>
      </c>
      <c r="F16" s="11" t="n">
        <v>0.951</v>
      </c>
      <c r="G16" s="14" t="n">
        <v>0.951</v>
      </c>
    </row>
    <row r="17" customFormat="false" ht="15" hidden="false" customHeight="false" outlineLevel="0" collapsed="false">
      <c r="A17" s="8" t="s">
        <v>79</v>
      </c>
      <c r="B17" s="9" t="s">
        <v>81</v>
      </c>
      <c r="C17" s="8" t="n">
        <v>7</v>
      </c>
      <c r="D17" s="11" t="n">
        <v>0.463</v>
      </c>
      <c r="E17" s="11" t="n">
        <v>0.849</v>
      </c>
      <c r="F17" s="11" t="n">
        <v>0.949</v>
      </c>
      <c r="G17" s="14" t="n">
        <v>0.949</v>
      </c>
    </row>
    <row r="18" customFormat="false" ht="15" hidden="false" customHeight="false" outlineLevel="0" collapsed="false">
      <c r="A18" s="8" t="s">
        <v>79</v>
      </c>
      <c r="B18" s="13" t="s">
        <v>83</v>
      </c>
      <c r="C18" s="8" t="n">
        <v>42</v>
      </c>
      <c r="D18" s="11" t="n">
        <v>0.055</v>
      </c>
      <c r="E18" s="11" t="n">
        <v>0.226</v>
      </c>
      <c r="F18" s="11" t="n">
        <v>0.526</v>
      </c>
      <c r="G18" s="15" t="n">
        <v>0.526</v>
      </c>
    </row>
    <row r="19" customFormat="false" ht="15" hidden="false" customHeight="false" outlineLevel="0" collapsed="false">
      <c r="A19" s="8" t="s">
        <v>79</v>
      </c>
      <c r="B19" s="16" t="s">
        <v>82</v>
      </c>
      <c r="C19" s="8" t="n">
        <v>83</v>
      </c>
      <c r="D19" s="11" t="n">
        <v>0.012</v>
      </c>
      <c r="E19" s="11" t="n">
        <v>0.072</v>
      </c>
      <c r="F19" s="11" t="n">
        <v>0.207</v>
      </c>
      <c r="G19" s="17" t="n">
        <v>0.207</v>
      </c>
    </row>
    <row r="20" customFormat="false" ht="15" hidden="false" customHeight="false" outlineLevel="0" collapsed="false">
      <c r="A20" s="8" t="s">
        <v>87</v>
      </c>
      <c r="B20" s="9" t="s">
        <v>88</v>
      </c>
      <c r="C20" s="8" t="n">
        <v>10</v>
      </c>
      <c r="D20" s="11" t="n">
        <v>0.577</v>
      </c>
      <c r="E20" s="11" t="n">
        <v>0.843</v>
      </c>
      <c r="F20" s="11" t="n">
        <v>0.946</v>
      </c>
      <c r="G20" s="14" t="n">
        <v>0.946</v>
      </c>
    </row>
    <row r="21" customFormat="false" ht="15" hidden="false" customHeight="false" outlineLevel="0" collapsed="false">
      <c r="A21" s="8" t="s">
        <v>87</v>
      </c>
      <c r="B21" s="9" t="s">
        <v>92</v>
      </c>
      <c r="C21" s="8" t="n">
        <v>23</v>
      </c>
      <c r="D21" s="11" t="n">
        <v>0.243</v>
      </c>
      <c r="E21" s="11" t="n">
        <v>0.594</v>
      </c>
      <c r="F21" s="11" t="n">
        <v>0.8</v>
      </c>
      <c r="G21" s="14" t="n">
        <v>0.8</v>
      </c>
    </row>
    <row r="22" customFormat="false" ht="15" hidden="false" customHeight="false" outlineLevel="0" collapsed="false">
      <c r="A22" s="8" t="s">
        <v>87</v>
      </c>
      <c r="B22" s="9" t="s">
        <v>91</v>
      </c>
      <c r="C22" s="8" t="n">
        <v>33</v>
      </c>
      <c r="D22" s="11" t="n">
        <v>0.151</v>
      </c>
      <c r="E22" s="11" t="n">
        <v>0.435</v>
      </c>
      <c r="F22" s="11" t="n">
        <v>0.686</v>
      </c>
      <c r="G22" s="14" t="n">
        <v>0.686</v>
      </c>
    </row>
    <row r="23" customFormat="false" ht="15" hidden="false" customHeight="false" outlineLevel="0" collapsed="false">
      <c r="A23" s="8" t="s">
        <v>87</v>
      </c>
      <c r="B23" s="13" t="s">
        <v>89</v>
      </c>
      <c r="C23" s="8" t="n">
        <v>82</v>
      </c>
      <c r="D23" s="11" t="n">
        <v>0.029</v>
      </c>
      <c r="E23" s="11" t="n">
        <v>0.128</v>
      </c>
      <c r="F23" s="11" t="n">
        <v>0.272</v>
      </c>
      <c r="G23" s="15" t="n">
        <v>0.272</v>
      </c>
    </row>
    <row r="24" customFormat="false" ht="15" hidden="false" customHeight="false" outlineLevel="0" collapsed="false">
      <c r="A24" s="8" t="s">
        <v>96</v>
      </c>
      <c r="B24" s="9" t="s">
        <v>97</v>
      </c>
      <c r="C24" s="8" t="n">
        <v>8</v>
      </c>
      <c r="D24" s="11" t="n">
        <v>0.54</v>
      </c>
      <c r="E24" s="11" t="n">
        <v>0.824</v>
      </c>
      <c r="F24" s="11" t="n">
        <v>0.93</v>
      </c>
      <c r="G24" s="14" t="n">
        <v>0.93</v>
      </c>
    </row>
    <row r="25" customFormat="false" ht="15" hidden="false" customHeight="false" outlineLevel="0" collapsed="false">
      <c r="A25" s="8" t="s">
        <v>96</v>
      </c>
      <c r="B25" s="9" t="s">
        <v>98</v>
      </c>
      <c r="C25" s="8" t="n">
        <v>18</v>
      </c>
      <c r="D25" s="11" t="n">
        <v>0.297</v>
      </c>
      <c r="E25" s="11" t="n">
        <v>0.652</v>
      </c>
      <c r="F25" s="11" t="n">
        <v>0.82</v>
      </c>
      <c r="G25" s="14" t="n">
        <v>0.82</v>
      </c>
    </row>
    <row r="26" customFormat="false" ht="15" hidden="false" customHeight="false" outlineLevel="0" collapsed="false">
      <c r="A26" s="8" t="s">
        <v>96</v>
      </c>
      <c r="B26" s="13" t="s">
        <v>101</v>
      </c>
      <c r="C26" s="8" t="n">
        <v>38</v>
      </c>
      <c r="D26" s="11" t="n">
        <v>0.092</v>
      </c>
      <c r="E26" s="11" t="n">
        <v>0.29</v>
      </c>
      <c r="F26" s="11" t="n">
        <v>0.511</v>
      </c>
      <c r="G26" s="15" t="n">
        <v>0.511</v>
      </c>
    </row>
    <row r="27" customFormat="false" ht="15" hidden="false" customHeight="false" outlineLevel="0" collapsed="false">
      <c r="A27" s="8" t="s">
        <v>96</v>
      </c>
      <c r="B27" s="13" t="s">
        <v>102</v>
      </c>
      <c r="C27" s="8" t="n">
        <v>45</v>
      </c>
      <c r="D27" s="11" t="n">
        <v>0.071</v>
      </c>
      <c r="E27" s="11" t="n">
        <v>0.235</v>
      </c>
      <c r="F27" s="11" t="n">
        <v>0.431</v>
      </c>
      <c r="G27" s="15" t="n">
        <v>0.431</v>
      </c>
    </row>
    <row r="28" customFormat="false" ht="15" hidden="false" customHeight="false" outlineLevel="0" collapsed="false">
      <c r="A28" s="8" t="s">
        <v>104</v>
      </c>
      <c r="B28" s="9" t="s">
        <v>108</v>
      </c>
      <c r="C28" s="8" t="n">
        <v>2</v>
      </c>
      <c r="D28" s="11" t="n">
        <v>0.752</v>
      </c>
      <c r="E28" s="11" t="n">
        <v>0.963</v>
      </c>
      <c r="F28" s="11" t="n">
        <v>0.991</v>
      </c>
      <c r="G28" s="14" t="n">
        <v>0.991</v>
      </c>
    </row>
    <row r="29" customFormat="false" ht="15" hidden="false" customHeight="false" outlineLevel="0" collapsed="false">
      <c r="A29" s="8" t="s">
        <v>104</v>
      </c>
      <c r="B29" s="9" t="s">
        <v>106</v>
      </c>
      <c r="C29" s="8" t="n">
        <v>16</v>
      </c>
      <c r="D29" s="11" t="n">
        <v>0.212</v>
      </c>
      <c r="E29" s="11" t="n">
        <v>0.745</v>
      </c>
      <c r="F29" s="11" t="n">
        <v>0.876</v>
      </c>
      <c r="G29" s="14" t="n">
        <v>0.876</v>
      </c>
    </row>
    <row r="30" customFormat="false" ht="15" hidden="false" customHeight="false" outlineLevel="0" collapsed="false">
      <c r="A30" s="8" t="s">
        <v>104</v>
      </c>
      <c r="B30" s="13" t="s">
        <v>105</v>
      </c>
      <c r="C30" s="8" t="n">
        <v>61</v>
      </c>
      <c r="D30" s="11" t="n">
        <v>0.021</v>
      </c>
      <c r="E30" s="11" t="n">
        <v>0.16</v>
      </c>
      <c r="F30" s="11" t="n">
        <v>0.372</v>
      </c>
      <c r="G30" s="15" t="n">
        <v>0.372</v>
      </c>
    </row>
    <row r="31" customFormat="false" ht="15" hidden="false" customHeight="false" outlineLevel="0" collapsed="false">
      <c r="A31" s="8" t="s">
        <v>104</v>
      </c>
      <c r="B31" s="13" t="s">
        <v>109</v>
      </c>
      <c r="C31" s="8" t="n">
        <v>67</v>
      </c>
      <c r="D31" s="11" t="n">
        <v>0.016</v>
      </c>
      <c r="E31" s="11" t="n">
        <v>0.133</v>
      </c>
      <c r="F31" s="11" t="n">
        <v>0.324</v>
      </c>
      <c r="G31" s="15" t="n">
        <v>0.324</v>
      </c>
    </row>
    <row r="32" customFormat="false" ht="15" hidden="false" customHeight="false" outlineLevel="0" collapsed="false">
      <c r="A32" s="8" t="s">
        <v>112</v>
      </c>
      <c r="B32" s="9" t="s">
        <v>113</v>
      </c>
      <c r="C32" s="8" t="n">
        <v>9</v>
      </c>
      <c r="D32" s="11" t="n">
        <v>0.541</v>
      </c>
      <c r="E32" s="11" t="n">
        <v>0.824</v>
      </c>
      <c r="F32" s="11" t="n">
        <v>0.943</v>
      </c>
      <c r="G32" s="14" t="n">
        <v>0.943</v>
      </c>
    </row>
    <row r="33" customFormat="false" ht="15" hidden="false" customHeight="false" outlineLevel="0" collapsed="false">
      <c r="A33" s="8" t="s">
        <v>112</v>
      </c>
      <c r="B33" s="9" t="s">
        <v>117</v>
      </c>
      <c r="C33" s="8" t="n">
        <v>20</v>
      </c>
      <c r="D33" s="11" t="n">
        <v>0.271</v>
      </c>
      <c r="E33" s="11" t="n">
        <v>0.622</v>
      </c>
      <c r="F33" s="11" t="n">
        <v>0.833</v>
      </c>
      <c r="G33" s="14" t="n">
        <v>0.833</v>
      </c>
    </row>
    <row r="34" customFormat="false" ht="15" hidden="false" customHeight="false" outlineLevel="0" collapsed="false">
      <c r="A34" s="8" t="s">
        <v>112</v>
      </c>
      <c r="B34" s="9" t="s">
        <v>114</v>
      </c>
      <c r="C34" s="8" t="n">
        <v>29</v>
      </c>
      <c r="D34" s="11" t="n">
        <v>0.163</v>
      </c>
      <c r="E34" s="11" t="n">
        <v>0.45</v>
      </c>
      <c r="F34" s="11" t="n">
        <v>0.713</v>
      </c>
      <c r="G34" s="14" t="n">
        <v>0.713</v>
      </c>
    </row>
    <row r="35" customFormat="false" ht="15" hidden="false" customHeight="false" outlineLevel="0" collapsed="false">
      <c r="A35" s="8" t="s">
        <v>112</v>
      </c>
      <c r="B35" s="16" t="s">
        <v>118</v>
      </c>
      <c r="C35" s="8" t="n">
        <v>85</v>
      </c>
      <c r="D35" s="11" t="n">
        <v>0.024</v>
      </c>
      <c r="E35" s="11" t="n">
        <v>0.104</v>
      </c>
      <c r="F35" s="11" t="n">
        <v>0.229</v>
      </c>
      <c r="G35" s="17" t="n">
        <v>0.229</v>
      </c>
    </row>
    <row r="36" customFormat="false" ht="15" hidden="false" customHeight="false" outlineLevel="0" collapsed="false">
      <c r="A36" s="8" t="s">
        <v>123</v>
      </c>
      <c r="B36" s="9" t="s">
        <v>124</v>
      </c>
      <c r="C36" s="8" t="n">
        <v>3</v>
      </c>
      <c r="D36" s="11" t="n">
        <v>0.714</v>
      </c>
      <c r="E36" s="11" t="n">
        <v>0.925</v>
      </c>
      <c r="F36" s="11" t="n">
        <v>0.979</v>
      </c>
      <c r="G36" s="14" t="n">
        <v>0.979</v>
      </c>
    </row>
    <row r="37" customFormat="false" ht="15" hidden="false" customHeight="false" outlineLevel="0" collapsed="false">
      <c r="A37" s="8" t="s">
        <v>123</v>
      </c>
      <c r="B37" s="9" t="s">
        <v>125</v>
      </c>
      <c r="C37" s="8" t="n">
        <v>15</v>
      </c>
      <c r="D37" s="11" t="n">
        <v>0.202</v>
      </c>
      <c r="E37" s="11" t="n">
        <v>0.645</v>
      </c>
      <c r="F37" s="11" t="n">
        <v>0.823</v>
      </c>
      <c r="G37" s="14" t="n">
        <v>0.823</v>
      </c>
    </row>
    <row r="38" customFormat="false" ht="15" hidden="false" customHeight="false" outlineLevel="0" collapsed="false">
      <c r="A38" s="8" t="s">
        <v>123</v>
      </c>
      <c r="B38" s="13" t="s">
        <v>128</v>
      </c>
      <c r="C38" s="8" t="n">
        <v>31</v>
      </c>
      <c r="D38" s="11" t="n">
        <v>0.064</v>
      </c>
      <c r="E38" s="11" t="n">
        <v>0.297</v>
      </c>
      <c r="F38" s="11" t="n">
        <v>0.547</v>
      </c>
      <c r="G38" s="15" t="n">
        <v>0.547</v>
      </c>
    </row>
    <row r="39" customFormat="false" ht="15" hidden="false" customHeight="false" outlineLevel="0" collapsed="false">
      <c r="A39" s="8" t="s">
        <v>123</v>
      </c>
      <c r="B39" s="13" t="s">
        <v>127</v>
      </c>
      <c r="C39" s="8" t="n">
        <v>57</v>
      </c>
      <c r="D39" s="11" t="n">
        <v>0.02</v>
      </c>
      <c r="E39" s="11" t="n">
        <v>0.133</v>
      </c>
      <c r="F39" s="11" t="n">
        <v>0.288</v>
      </c>
      <c r="G39" s="15" t="n">
        <v>0.288</v>
      </c>
    </row>
    <row r="40" customFormat="false" ht="15" hidden="false" customHeight="false" outlineLevel="0" collapsed="false">
      <c r="A40" s="8" t="s">
        <v>132</v>
      </c>
      <c r="B40" s="9" t="s">
        <v>134</v>
      </c>
      <c r="C40" s="8" t="n">
        <v>4</v>
      </c>
      <c r="D40" s="11" t="n">
        <v>0.604</v>
      </c>
      <c r="E40" s="11" t="n">
        <v>0.896</v>
      </c>
      <c r="F40" s="11" t="n">
        <v>0.969</v>
      </c>
      <c r="G40" s="14" t="n">
        <v>0.969</v>
      </c>
    </row>
    <row r="41" customFormat="false" ht="15" hidden="false" customHeight="false" outlineLevel="0" collapsed="false">
      <c r="A41" s="8" t="s">
        <v>132</v>
      </c>
      <c r="B41" s="9" t="s">
        <v>135</v>
      </c>
      <c r="C41" s="8" t="n">
        <v>11</v>
      </c>
      <c r="D41" s="11" t="n">
        <v>0.314</v>
      </c>
      <c r="E41" s="11" t="n">
        <v>0.747</v>
      </c>
      <c r="F41" s="11" t="n">
        <v>0.896</v>
      </c>
      <c r="G41" s="14" t="n">
        <v>0.896</v>
      </c>
    </row>
    <row r="42" customFormat="false" ht="15" hidden="false" customHeight="false" outlineLevel="0" collapsed="false">
      <c r="A42" s="8" t="s">
        <v>132</v>
      </c>
      <c r="B42" s="9" t="s">
        <v>138</v>
      </c>
      <c r="C42" s="8" t="n">
        <v>34</v>
      </c>
      <c r="D42" s="11" t="n">
        <v>0.068</v>
      </c>
      <c r="E42" s="11" t="n">
        <v>0.272</v>
      </c>
      <c r="F42" s="11" t="n">
        <v>0.557</v>
      </c>
      <c r="G42" s="14" t="n">
        <v>0.557</v>
      </c>
    </row>
    <row r="43" customFormat="false" ht="15" hidden="false" customHeight="false" outlineLevel="0" collapsed="false">
      <c r="A43" s="8" t="s">
        <v>132</v>
      </c>
      <c r="B43" s="16" t="s">
        <v>137</v>
      </c>
      <c r="C43" s="8" t="n">
        <v>73</v>
      </c>
      <c r="D43" s="11" t="n">
        <v>0.014</v>
      </c>
      <c r="E43" s="11" t="n">
        <v>0.085</v>
      </c>
      <c r="F43" s="11" t="n">
        <v>0.223</v>
      </c>
      <c r="G43" s="17" t="n">
        <v>0.223</v>
      </c>
    </row>
    <row r="44" customFormat="false" ht="15" hidden="false" customHeight="false" outlineLevel="0" collapsed="false">
      <c r="A44" s="8" t="s">
        <v>141</v>
      </c>
      <c r="B44" s="9" t="s">
        <v>142</v>
      </c>
      <c r="C44" s="8" t="n">
        <v>5</v>
      </c>
      <c r="D44" s="11" t="n">
        <v>0.54</v>
      </c>
      <c r="E44" s="11" t="n">
        <v>0.844</v>
      </c>
      <c r="F44" s="11" t="n">
        <v>0.941</v>
      </c>
      <c r="G44" s="14" t="n">
        <v>0.941</v>
      </c>
    </row>
    <row r="45" customFormat="false" ht="15" hidden="false" customHeight="false" outlineLevel="0" collapsed="false">
      <c r="A45" s="8" t="s">
        <v>141</v>
      </c>
      <c r="B45" s="9" t="s">
        <v>146</v>
      </c>
      <c r="C45" s="8" t="n">
        <v>13</v>
      </c>
      <c r="D45" s="11" t="n">
        <v>0.35</v>
      </c>
      <c r="E45" s="11" t="n">
        <v>0.737</v>
      </c>
      <c r="F45" s="11" t="n">
        <v>0.877</v>
      </c>
      <c r="G45" s="14" t="n">
        <v>0.877</v>
      </c>
    </row>
    <row r="46" customFormat="false" ht="15" hidden="false" customHeight="false" outlineLevel="0" collapsed="false">
      <c r="A46" s="8" t="s">
        <v>141</v>
      </c>
      <c r="B46" s="13" t="s">
        <v>143</v>
      </c>
      <c r="C46" s="8" t="n">
        <v>46</v>
      </c>
      <c r="D46" s="11" t="n">
        <v>0.059</v>
      </c>
      <c r="E46" s="11" t="n">
        <v>0.22</v>
      </c>
      <c r="F46" s="11" t="n">
        <v>0.437</v>
      </c>
      <c r="G46" s="15" t="n">
        <v>0.437</v>
      </c>
    </row>
    <row r="47" customFormat="false" ht="15" hidden="false" customHeight="false" outlineLevel="0" collapsed="false">
      <c r="A47" s="8" t="s">
        <v>141</v>
      </c>
      <c r="B47" s="13" t="s">
        <v>145</v>
      </c>
      <c r="C47" s="8" t="n">
        <v>50</v>
      </c>
      <c r="D47" s="11" t="n">
        <v>0.051</v>
      </c>
      <c r="E47" s="11" t="n">
        <v>0.2</v>
      </c>
      <c r="F47" s="11" t="n">
        <v>0.406</v>
      </c>
      <c r="G47" s="15" t="n">
        <v>0.406</v>
      </c>
    </row>
    <row r="48" customFormat="false" ht="15" hidden="false" customHeight="false" outlineLevel="0" collapsed="false">
      <c r="A48" s="8" t="s">
        <v>148</v>
      </c>
      <c r="B48" s="9" t="s">
        <v>149</v>
      </c>
      <c r="C48" s="8" t="n">
        <v>1</v>
      </c>
      <c r="D48" s="11" t="n">
        <v>0.779</v>
      </c>
      <c r="E48" s="11" t="n">
        <v>0.945</v>
      </c>
      <c r="F48" s="11" t="n">
        <v>0.987</v>
      </c>
      <c r="G48" s="14" t="n">
        <v>0.987</v>
      </c>
    </row>
    <row r="49" customFormat="false" ht="15" hidden="false" customHeight="false" outlineLevel="0" collapsed="false">
      <c r="A49" s="8" t="s">
        <v>148</v>
      </c>
      <c r="B49" s="9" t="s">
        <v>152</v>
      </c>
      <c r="C49" s="8" t="n">
        <v>24</v>
      </c>
      <c r="D49" s="11" t="n">
        <v>0.114</v>
      </c>
      <c r="E49" s="11" t="n">
        <v>0.488</v>
      </c>
      <c r="F49" s="11" t="n">
        <v>0.698</v>
      </c>
      <c r="G49" s="14" t="n">
        <v>0.698</v>
      </c>
    </row>
    <row r="50" customFormat="false" ht="15" hidden="false" customHeight="false" outlineLevel="0" collapsed="false">
      <c r="A50" s="8" t="s">
        <v>148</v>
      </c>
      <c r="B50" s="9" t="s">
        <v>150</v>
      </c>
      <c r="C50" s="8" t="n">
        <v>28</v>
      </c>
      <c r="D50" s="11" t="n">
        <v>0.088</v>
      </c>
      <c r="E50" s="11" t="n">
        <v>0.419</v>
      </c>
      <c r="F50" s="11" t="n">
        <v>0.645</v>
      </c>
      <c r="G50" s="14" t="n">
        <v>0.645</v>
      </c>
    </row>
    <row r="51" customFormat="false" ht="15" hidden="false" customHeight="false" outlineLevel="0" collapsed="false">
      <c r="A51" s="8" t="s">
        <v>148</v>
      </c>
      <c r="B51" s="13" t="s">
        <v>153</v>
      </c>
      <c r="C51" s="8" t="n">
        <v>63</v>
      </c>
      <c r="D51" s="11" t="n">
        <v>0.019</v>
      </c>
      <c r="E51" s="11" t="n">
        <v>0.148</v>
      </c>
      <c r="F51" s="11" t="n">
        <v>0.292</v>
      </c>
      <c r="G51" s="15" t="n">
        <v>0.292</v>
      </c>
    </row>
  </sheetData>
  <autoFilter ref="A3:G51"/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8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30"/>
    <col collapsed="false" customWidth="true" hidden="false" outlineLevel="0" max="5" min="5" style="0" width="26"/>
  </cols>
  <sheetData>
    <row r="1" customFormat="false" ht="17.35" hidden="false" customHeight="false" outlineLevel="0" collapsed="false">
      <c r="A1" s="6" t="s">
        <v>164</v>
      </c>
      <c r="B1" s="6"/>
      <c r="C1" s="6"/>
      <c r="D1" s="6"/>
      <c r="E1" s="6"/>
    </row>
    <row r="3" customFormat="false" ht="15" hidden="false" customHeight="false" outlineLevel="0" collapsed="false">
      <c r="A3" s="7" t="s">
        <v>165</v>
      </c>
      <c r="B3" s="7" t="s">
        <v>28</v>
      </c>
      <c r="C3" s="7" t="s">
        <v>166</v>
      </c>
      <c r="D3" s="7" t="s">
        <v>167</v>
      </c>
      <c r="E3" s="7" t="s">
        <v>168</v>
      </c>
    </row>
    <row r="4" customFormat="false" ht="15" hidden="false" customHeight="false" outlineLevel="0" collapsed="false">
      <c r="A4" s="8" t="s">
        <v>169</v>
      </c>
      <c r="B4" s="8" t="s">
        <v>156</v>
      </c>
      <c r="C4" s="19" t="s">
        <v>170</v>
      </c>
      <c r="D4" s="19" t="s">
        <v>171</v>
      </c>
      <c r="E4" s="10" t="s">
        <v>172</v>
      </c>
    </row>
    <row r="5" customFormat="false" ht="15" hidden="false" customHeight="false" outlineLevel="0" collapsed="false">
      <c r="A5" s="8" t="s">
        <v>173</v>
      </c>
      <c r="B5" s="8" t="s">
        <v>174</v>
      </c>
      <c r="C5" s="19" t="s">
        <v>175</v>
      </c>
      <c r="D5" s="19" t="s">
        <v>176</v>
      </c>
      <c r="E5" s="10" t="s">
        <v>177</v>
      </c>
    </row>
    <row r="6" customFormat="false" ht="15" hidden="false" customHeight="false" outlineLevel="0" collapsed="false">
      <c r="A6" s="8" t="s">
        <v>178</v>
      </c>
      <c r="B6" s="8" t="s">
        <v>174</v>
      </c>
      <c r="C6" s="19" t="s">
        <v>179</v>
      </c>
      <c r="D6" s="19" t="s">
        <v>180</v>
      </c>
      <c r="E6" s="10" t="s">
        <v>181</v>
      </c>
    </row>
    <row r="7" customFormat="false" ht="15" hidden="false" customHeight="false" outlineLevel="0" collapsed="false">
      <c r="A7" s="8" t="s">
        <v>182</v>
      </c>
      <c r="B7" s="8" t="s">
        <v>174</v>
      </c>
      <c r="C7" s="19" t="s">
        <v>183</v>
      </c>
      <c r="D7" s="19" t="s">
        <v>184</v>
      </c>
      <c r="E7" s="10" t="s">
        <v>185</v>
      </c>
    </row>
    <row r="8" customFormat="false" ht="15" hidden="false" customHeight="false" outlineLevel="0" collapsed="false">
      <c r="A8" s="8" t="s">
        <v>186</v>
      </c>
      <c r="B8" s="8" t="s">
        <v>187</v>
      </c>
      <c r="C8" s="19" t="s">
        <v>188</v>
      </c>
      <c r="D8" s="19" t="s">
        <v>189</v>
      </c>
      <c r="E8" s="10" t="s">
        <v>190</v>
      </c>
    </row>
    <row r="9" customFormat="false" ht="15" hidden="false" customHeight="false" outlineLevel="0" collapsed="false">
      <c r="A9" s="8" t="s">
        <v>191</v>
      </c>
      <c r="B9" s="8" t="s">
        <v>187</v>
      </c>
      <c r="C9" s="19" t="s">
        <v>192</v>
      </c>
      <c r="D9" s="19" t="s">
        <v>193</v>
      </c>
      <c r="E9" s="10" t="s">
        <v>194</v>
      </c>
    </row>
    <row r="10" customFormat="false" ht="15" hidden="false" customHeight="false" outlineLevel="0" collapsed="false">
      <c r="A10" s="8" t="s">
        <v>195</v>
      </c>
      <c r="B10" s="8" t="s">
        <v>187</v>
      </c>
      <c r="C10" s="19" t="s">
        <v>196</v>
      </c>
      <c r="D10" s="19" t="s">
        <v>197</v>
      </c>
      <c r="E10" s="10" t="s">
        <v>198</v>
      </c>
    </row>
    <row r="11" customFormat="false" ht="15" hidden="false" customHeight="false" outlineLevel="0" collapsed="false">
      <c r="A11" s="8" t="s">
        <v>199</v>
      </c>
      <c r="B11" s="8" t="s">
        <v>200</v>
      </c>
      <c r="C11" s="19" t="s">
        <v>201</v>
      </c>
      <c r="D11" s="19" t="s">
        <v>202</v>
      </c>
      <c r="E11" s="10"/>
    </row>
    <row r="12" customFormat="false" ht="15" hidden="false" customHeight="false" outlineLevel="0" collapsed="false">
      <c r="A12" s="8" t="s">
        <v>203</v>
      </c>
      <c r="B12" s="8" t="s">
        <v>200</v>
      </c>
      <c r="C12" s="19" t="s">
        <v>204</v>
      </c>
      <c r="D12" s="19" t="s">
        <v>205</v>
      </c>
      <c r="E12" s="10"/>
    </row>
    <row r="13" customFormat="false" ht="15" hidden="false" customHeight="false" outlineLevel="0" collapsed="false">
      <c r="A13" s="8" t="s">
        <v>206</v>
      </c>
      <c r="B13" s="8" t="s">
        <v>200</v>
      </c>
      <c r="C13" s="19" t="s">
        <v>207</v>
      </c>
      <c r="D13" s="19" t="s">
        <v>208</v>
      </c>
      <c r="E13" s="10"/>
    </row>
    <row r="14" customFormat="false" ht="15" hidden="false" customHeight="false" outlineLevel="0" collapsed="false">
      <c r="A14" s="8" t="s">
        <v>209</v>
      </c>
      <c r="B14" s="8" t="s">
        <v>210</v>
      </c>
      <c r="C14" s="19" t="s">
        <v>211</v>
      </c>
      <c r="D14" s="19" t="s">
        <v>212</v>
      </c>
      <c r="E14" s="10" t="s">
        <v>213</v>
      </c>
    </row>
    <row r="15" customFormat="false" ht="15" hidden="false" customHeight="false" outlineLevel="0" collapsed="false">
      <c r="A15" s="8" t="s">
        <v>214</v>
      </c>
      <c r="B15" s="8" t="s">
        <v>210</v>
      </c>
      <c r="C15" s="19" t="s">
        <v>215</v>
      </c>
      <c r="D15" s="19" t="s">
        <v>216</v>
      </c>
      <c r="E15" s="10" t="s">
        <v>172</v>
      </c>
    </row>
    <row r="16" customFormat="false" ht="15" hidden="false" customHeight="false" outlineLevel="0" collapsed="false">
      <c r="A16" s="8" t="s">
        <v>217</v>
      </c>
      <c r="B16" s="8" t="s">
        <v>210</v>
      </c>
      <c r="C16" s="19" t="s">
        <v>218</v>
      </c>
      <c r="D16" s="19" t="s">
        <v>219</v>
      </c>
      <c r="E16" s="10" t="s">
        <v>220</v>
      </c>
    </row>
    <row r="17" customFormat="false" ht="15" hidden="false" customHeight="false" outlineLevel="0" collapsed="false">
      <c r="A17" s="8" t="s">
        <v>221</v>
      </c>
      <c r="B17" s="8" t="s">
        <v>222</v>
      </c>
      <c r="C17" s="19" t="s">
        <v>223</v>
      </c>
      <c r="D17" s="19" t="s">
        <v>224</v>
      </c>
      <c r="E17" s="10" t="s">
        <v>225</v>
      </c>
    </row>
    <row r="18" customFormat="false" ht="15" hidden="false" customHeight="false" outlineLevel="0" collapsed="false">
      <c r="A18" s="8" t="s">
        <v>226</v>
      </c>
      <c r="B18" s="8" t="s">
        <v>222</v>
      </c>
      <c r="C18" s="19" t="s">
        <v>227</v>
      </c>
      <c r="D18" s="19" t="s">
        <v>228</v>
      </c>
      <c r="E18" s="10" t="s">
        <v>229</v>
      </c>
    </row>
    <row r="19" customFormat="false" ht="15" hidden="false" customHeight="false" outlineLevel="0" collapsed="false">
      <c r="A19" s="8" t="s">
        <v>230</v>
      </c>
      <c r="B19" s="8" t="s">
        <v>222</v>
      </c>
      <c r="C19" s="19" t="s">
        <v>231</v>
      </c>
      <c r="D19" s="19" t="s">
        <v>232</v>
      </c>
      <c r="E19" s="10" t="s">
        <v>194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7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6" t="s">
        <v>233</v>
      </c>
      <c r="B1" s="6"/>
      <c r="C1" s="6"/>
      <c r="D1" s="6"/>
      <c r="E1" s="6"/>
      <c r="F1" s="6"/>
      <c r="G1" s="6"/>
      <c r="H1" s="6"/>
      <c r="I1" s="6"/>
    </row>
    <row r="3" customFormat="false" ht="15" hidden="false" customHeight="false" outlineLevel="0" collapsed="false">
      <c r="A3" s="7" t="s">
        <v>158</v>
      </c>
      <c r="B3" s="7" t="s">
        <v>27</v>
      </c>
      <c r="C3" s="7" t="s">
        <v>159</v>
      </c>
      <c r="D3" s="7" t="s">
        <v>234</v>
      </c>
      <c r="E3" s="7" t="s">
        <v>235</v>
      </c>
      <c r="F3" s="7" t="s">
        <v>236</v>
      </c>
      <c r="G3" s="7" t="s">
        <v>237</v>
      </c>
      <c r="H3" s="7" t="s">
        <v>238</v>
      </c>
      <c r="I3" s="7" t="s">
        <v>239</v>
      </c>
    </row>
    <row r="4" customFormat="false" ht="15" hidden="false" customHeight="false" outlineLevel="0" collapsed="false">
      <c r="A4" s="20" t="s">
        <v>124</v>
      </c>
      <c r="B4" s="8" t="s">
        <v>123</v>
      </c>
      <c r="C4" s="8" t="n">
        <v>3</v>
      </c>
      <c r="D4" s="11" t="n">
        <v>0.979</v>
      </c>
      <c r="E4" s="11" t="n">
        <v>0.828</v>
      </c>
      <c r="F4" s="11" t="n">
        <v>0.645</v>
      </c>
      <c r="G4" s="11" t="n">
        <v>0.477</v>
      </c>
      <c r="H4" s="11" t="n">
        <v>0.298</v>
      </c>
      <c r="I4" s="14" t="n">
        <v>0.189</v>
      </c>
    </row>
    <row r="5" customFormat="false" ht="15" hidden="false" customHeight="false" outlineLevel="0" collapsed="false">
      <c r="A5" s="20" t="s">
        <v>149</v>
      </c>
      <c r="B5" s="8" t="s">
        <v>148</v>
      </c>
      <c r="C5" s="8" t="n">
        <v>1</v>
      </c>
      <c r="D5" s="11" t="n">
        <v>0.987</v>
      </c>
      <c r="E5" s="11" t="n">
        <v>0.831</v>
      </c>
      <c r="F5" s="11" t="n">
        <v>0.63</v>
      </c>
      <c r="G5" s="11" t="n">
        <v>0.45</v>
      </c>
      <c r="H5" s="11" t="n">
        <v>0.3</v>
      </c>
      <c r="I5" s="14" t="n">
        <v>0.184</v>
      </c>
    </row>
    <row r="6" customFormat="false" ht="15" hidden="false" customHeight="false" outlineLevel="0" collapsed="false">
      <c r="A6" s="20" t="s">
        <v>108</v>
      </c>
      <c r="B6" s="8" t="s">
        <v>104</v>
      </c>
      <c r="C6" s="8" t="n">
        <v>2</v>
      </c>
      <c r="D6" s="11" t="n">
        <v>0.991</v>
      </c>
      <c r="E6" s="11" t="n">
        <v>0.815</v>
      </c>
      <c r="F6" s="11" t="n">
        <v>0.585</v>
      </c>
      <c r="G6" s="11" t="n">
        <v>0.413</v>
      </c>
      <c r="H6" s="11" t="n">
        <v>0.266</v>
      </c>
      <c r="I6" s="14" t="n">
        <v>0.163</v>
      </c>
    </row>
    <row r="7" customFormat="false" ht="15" hidden="false" customHeight="false" outlineLevel="0" collapsed="false">
      <c r="A7" s="21" t="s">
        <v>134</v>
      </c>
      <c r="B7" s="8" t="s">
        <v>132</v>
      </c>
      <c r="C7" s="8" t="n">
        <v>4</v>
      </c>
      <c r="D7" s="11" t="n">
        <v>0.969</v>
      </c>
      <c r="E7" s="11" t="n">
        <v>0.714</v>
      </c>
      <c r="F7" s="11" t="n">
        <v>0.532</v>
      </c>
      <c r="G7" s="11" t="n">
        <v>0.315</v>
      </c>
      <c r="H7" s="11" t="n">
        <v>0.178</v>
      </c>
      <c r="I7" s="15" t="n">
        <v>0.096</v>
      </c>
    </row>
    <row r="8" customFormat="false" ht="15" hidden="false" customHeight="false" outlineLevel="0" collapsed="false">
      <c r="A8" s="10" t="s">
        <v>142</v>
      </c>
      <c r="B8" s="8" t="s">
        <v>141</v>
      </c>
      <c r="C8" s="8" t="n">
        <v>5</v>
      </c>
      <c r="D8" s="11" t="n">
        <v>0.941</v>
      </c>
      <c r="E8" s="11" t="n">
        <v>0.667</v>
      </c>
      <c r="F8" s="11" t="n">
        <v>0.38</v>
      </c>
      <c r="G8" s="11" t="n">
        <v>0.201</v>
      </c>
      <c r="H8" s="11" t="n">
        <v>0.099</v>
      </c>
      <c r="I8" s="22" t="n">
        <v>0.044</v>
      </c>
    </row>
    <row r="9" customFormat="false" ht="15" hidden="false" customHeight="false" outlineLevel="0" collapsed="false">
      <c r="A9" s="10" t="s">
        <v>97</v>
      </c>
      <c r="B9" s="8" t="s">
        <v>96</v>
      </c>
      <c r="C9" s="8" t="n">
        <v>8</v>
      </c>
      <c r="D9" s="11" t="n">
        <v>0.93</v>
      </c>
      <c r="E9" s="11" t="n">
        <v>0.624</v>
      </c>
      <c r="F9" s="11" t="n">
        <v>0.41</v>
      </c>
      <c r="G9" s="11" t="n">
        <v>0.193</v>
      </c>
      <c r="H9" s="11" t="n">
        <v>0.09</v>
      </c>
      <c r="I9" s="22" t="n">
        <v>0.04</v>
      </c>
    </row>
    <row r="10" customFormat="false" ht="15" hidden="false" customHeight="false" outlineLevel="0" collapsed="false">
      <c r="A10" s="10" t="s">
        <v>80</v>
      </c>
      <c r="B10" s="8" t="s">
        <v>79</v>
      </c>
      <c r="C10" s="8" t="n">
        <v>6</v>
      </c>
      <c r="D10" s="11" t="n">
        <v>0.951</v>
      </c>
      <c r="E10" s="11" t="n">
        <v>0.651</v>
      </c>
      <c r="F10" s="11" t="n">
        <v>0.335</v>
      </c>
      <c r="G10" s="11" t="n">
        <v>0.184</v>
      </c>
      <c r="H10" s="11" t="n">
        <v>0.091</v>
      </c>
      <c r="I10" s="22" t="n">
        <v>0.04</v>
      </c>
    </row>
    <row r="11" customFormat="false" ht="15" hidden="false" customHeight="false" outlineLevel="0" collapsed="false">
      <c r="A11" s="10" t="s">
        <v>81</v>
      </c>
      <c r="B11" s="8" t="s">
        <v>79</v>
      </c>
      <c r="C11" s="8" t="n">
        <v>7</v>
      </c>
      <c r="D11" s="11" t="n">
        <v>0.949</v>
      </c>
      <c r="E11" s="11" t="n">
        <v>0.647</v>
      </c>
      <c r="F11" s="11" t="n">
        <v>0.335</v>
      </c>
      <c r="G11" s="11" t="n">
        <v>0.188</v>
      </c>
      <c r="H11" s="11" t="n">
        <v>0.091</v>
      </c>
      <c r="I11" s="22" t="n">
        <v>0.038</v>
      </c>
    </row>
    <row r="12" customFormat="false" ht="15" hidden="false" customHeight="false" outlineLevel="0" collapsed="false">
      <c r="A12" s="10" t="s">
        <v>42</v>
      </c>
      <c r="B12" s="8" t="s">
        <v>40</v>
      </c>
      <c r="C12" s="8" t="n">
        <v>14</v>
      </c>
      <c r="D12" s="11" t="n">
        <v>0.95</v>
      </c>
      <c r="E12" s="11" t="n">
        <v>0.673</v>
      </c>
      <c r="F12" s="11" t="n">
        <v>0.33</v>
      </c>
      <c r="G12" s="11" t="n">
        <v>0.178</v>
      </c>
      <c r="H12" s="11" t="n">
        <v>0.084</v>
      </c>
      <c r="I12" s="22" t="n">
        <v>0.036</v>
      </c>
    </row>
    <row r="13" customFormat="false" ht="15" hidden="false" customHeight="false" outlineLevel="0" collapsed="false">
      <c r="A13" s="10" t="s">
        <v>88</v>
      </c>
      <c r="B13" s="8" t="s">
        <v>87</v>
      </c>
      <c r="C13" s="8" t="n">
        <v>10</v>
      </c>
      <c r="D13" s="11" t="n">
        <v>0.946</v>
      </c>
      <c r="E13" s="11" t="n">
        <v>0.632</v>
      </c>
      <c r="F13" s="11" t="n">
        <v>0.298</v>
      </c>
      <c r="G13" s="11" t="n">
        <v>0.157</v>
      </c>
      <c r="H13" s="11" t="n">
        <v>0.066</v>
      </c>
      <c r="I13" s="22" t="n">
        <v>0.027</v>
      </c>
    </row>
    <row r="14" customFormat="false" ht="15" hidden="false" customHeight="false" outlineLevel="0" collapsed="false">
      <c r="A14" s="10" t="s">
        <v>69</v>
      </c>
      <c r="B14" s="8" t="s">
        <v>68</v>
      </c>
      <c r="C14" s="8" t="n">
        <v>17</v>
      </c>
      <c r="D14" s="11" t="n">
        <v>0.899</v>
      </c>
      <c r="E14" s="11" t="n">
        <v>0.529</v>
      </c>
      <c r="F14" s="11" t="n">
        <v>0.314</v>
      </c>
      <c r="G14" s="11" t="n">
        <v>0.139</v>
      </c>
      <c r="H14" s="11" t="n">
        <v>0.063</v>
      </c>
      <c r="I14" s="22" t="n">
        <v>0.027</v>
      </c>
    </row>
    <row r="15" customFormat="false" ht="15" hidden="false" customHeight="false" outlineLevel="0" collapsed="false">
      <c r="A15" s="10" t="s">
        <v>113</v>
      </c>
      <c r="B15" s="8" t="s">
        <v>112</v>
      </c>
      <c r="C15" s="8" t="n">
        <v>9</v>
      </c>
      <c r="D15" s="11" t="n">
        <v>0.943</v>
      </c>
      <c r="E15" s="11" t="n">
        <v>0.491</v>
      </c>
      <c r="F15" s="11" t="n">
        <v>0.289</v>
      </c>
      <c r="G15" s="11" t="n">
        <v>0.13</v>
      </c>
      <c r="H15" s="11" t="n">
        <v>0.06</v>
      </c>
      <c r="I15" s="22" t="n">
        <v>0.024</v>
      </c>
    </row>
    <row r="16" customFormat="false" ht="15" hidden="false" customHeight="false" outlineLevel="0" collapsed="false">
      <c r="A16" s="10" t="s">
        <v>135</v>
      </c>
      <c r="B16" s="8" t="s">
        <v>132</v>
      </c>
      <c r="C16" s="8" t="n">
        <v>11</v>
      </c>
      <c r="D16" s="11" t="n">
        <v>0.896</v>
      </c>
      <c r="E16" s="11" t="n">
        <v>0.516</v>
      </c>
      <c r="F16" s="11" t="n">
        <v>0.303</v>
      </c>
      <c r="G16" s="11" t="n">
        <v>0.134</v>
      </c>
      <c r="H16" s="11" t="n">
        <v>0.057</v>
      </c>
      <c r="I16" s="22" t="n">
        <v>0.022</v>
      </c>
    </row>
    <row r="17" customFormat="false" ht="15" hidden="false" customHeight="false" outlineLevel="0" collapsed="false">
      <c r="A17" s="10" t="s">
        <v>146</v>
      </c>
      <c r="B17" s="8" t="s">
        <v>141</v>
      </c>
      <c r="C17" s="8" t="n">
        <v>13</v>
      </c>
      <c r="D17" s="11" t="n">
        <v>0.877</v>
      </c>
      <c r="E17" s="11" t="n">
        <v>0.53</v>
      </c>
      <c r="F17" s="11" t="n">
        <v>0.254</v>
      </c>
      <c r="G17" s="11" t="n">
        <v>0.105</v>
      </c>
      <c r="H17" s="11" t="n">
        <v>0.042</v>
      </c>
      <c r="I17" s="22" t="n">
        <v>0.013</v>
      </c>
    </row>
    <row r="18" customFormat="false" ht="15" hidden="false" customHeight="false" outlineLevel="0" collapsed="false">
      <c r="A18" s="10" t="s">
        <v>125</v>
      </c>
      <c r="B18" s="8" t="s">
        <v>123</v>
      </c>
      <c r="C18" s="8" t="n">
        <v>15</v>
      </c>
      <c r="D18" s="11" t="n">
        <v>0.823</v>
      </c>
      <c r="E18" s="11" t="n">
        <v>0.492</v>
      </c>
      <c r="F18" s="11" t="n">
        <v>0.248</v>
      </c>
      <c r="G18" s="11" t="n">
        <v>0.107</v>
      </c>
      <c r="H18" s="11" t="n">
        <v>0.04</v>
      </c>
      <c r="I18" s="22" t="n">
        <v>0.013</v>
      </c>
    </row>
    <row r="19" customFormat="false" ht="15" hidden="false" customHeight="false" outlineLevel="0" collapsed="false">
      <c r="A19" s="10" t="s">
        <v>106</v>
      </c>
      <c r="B19" s="8" t="s">
        <v>104</v>
      </c>
      <c r="C19" s="8" t="n">
        <v>16</v>
      </c>
      <c r="D19" s="11" t="n">
        <v>0.876</v>
      </c>
      <c r="E19" s="11" t="n">
        <v>0.458</v>
      </c>
      <c r="F19" s="11" t="n">
        <v>0.21</v>
      </c>
      <c r="G19" s="11" t="n">
        <v>0.09</v>
      </c>
      <c r="H19" s="11" t="n">
        <v>0.033</v>
      </c>
      <c r="I19" s="22" t="n">
        <v>0.01</v>
      </c>
    </row>
    <row r="20" customFormat="false" ht="15" hidden="false" customHeight="false" outlineLevel="0" collapsed="false">
      <c r="A20" s="10" t="s">
        <v>98</v>
      </c>
      <c r="B20" s="8" t="s">
        <v>96</v>
      </c>
      <c r="C20" s="8" t="n">
        <v>18</v>
      </c>
      <c r="D20" s="11" t="n">
        <v>0.82</v>
      </c>
      <c r="E20" s="11" t="n">
        <v>0.428</v>
      </c>
      <c r="F20" s="11" t="n">
        <v>0.218</v>
      </c>
      <c r="G20" s="11" t="n">
        <v>0.077</v>
      </c>
      <c r="H20" s="11" t="n">
        <v>0.027</v>
      </c>
      <c r="I20" s="22" t="n">
        <v>0.008</v>
      </c>
    </row>
    <row r="21" customFormat="false" ht="15" hidden="false" customHeight="false" outlineLevel="0" collapsed="false">
      <c r="A21" s="10" t="s">
        <v>63</v>
      </c>
      <c r="B21" s="8" t="s">
        <v>57</v>
      </c>
      <c r="C21" s="8" t="n">
        <v>19</v>
      </c>
      <c r="D21" s="11" t="n">
        <v>0.891</v>
      </c>
      <c r="E21" s="11" t="n">
        <v>0.527</v>
      </c>
      <c r="F21" s="11" t="n">
        <v>0.211</v>
      </c>
      <c r="G21" s="11" t="n">
        <v>0.078</v>
      </c>
      <c r="H21" s="11" t="n">
        <v>0.023</v>
      </c>
      <c r="I21" s="22" t="n">
        <v>0.007</v>
      </c>
    </row>
    <row r="22" customFormat="false" ht="15" hidden="false" customHeight="false" outlineLevel="0" collapsed="false">
      <c r="A22" s="10" t="s">
        <v>58</v>
      </c>
      <c r="B22" s="8" t="s">
        <v>57</v>
      </c>
      <c r="C22" s="8" t="n">
        <v>30</v>
      </c>
      <c r="D22" s="11" t="n">
        <v>0.853</v>
      </c>
      <c r="E22" s="11" t="n">
        <v>0.457</v>
      </c>
      <c r="F22" s="11" t="n">
        <v>0.163</v>
      </c>
      <c r="G22" s="11" t="n">
        <v>0.05</v>
      </c>
      <c r="H22" s="11" t="n">
        <v>0.013</v>
      </c>
      <c r="I22" s="22" t="n">
        <v>0.004</v>
      </c>
    </row>
    <row r="23" customFormat="false" ht="15" hidden="false" customHeight="false" outlineLevel="0" collapsed="false">
      <c r="A23" s="10" t="s">
        <v>74</v>
      </c>
      <c r="B23" s="8" t="s">
        <v>68</v>
      </c>
      <c r="C23" s="8" t="n">
        <v>22</v>
      </c>
      <c r="D23" s="11" t="n">
        <v>0.706</v>
      </c>
      <c r="E23" s="11" t="n">
        <v>0.276</v>
      </c>
      <c r="F23" s="11" t="n">
        <v>0.118</v>
      </c>
      <c r="G23" s="11" t="n">
        <v>0.033</v>
      </c>
      <c r="H23" s="11" t="n">
        <v>0.01</v>
      </c>
      <c r="I23" s="22" t="n">
        <v>0.003</v>
      </c>
    </row>
    <row r="24" customFormat="false" ht="15" hidden="false" customHeight="false" outlineLevel="0" collapsed="false">
      <c r="A24" s="10" t="s">
        <v>92</v>
      </c>
      <c r="B24" s="8" t="s">
        <v>87</v>
      </c>
      <c r="C24" s="8" t="n">
        <v>23</v>
      </c>
      <c r="D24" s="11" t="n">
        <v>0.8</v>
      </c>
      <c r="E24" s="11" t="n">
        <v>0.354</v>
      </c>
      <c r="F24" s="11" t="n">
        <v>0.115</v>
      </c>
      <c r="G24" s="11" t="n">
        <v>0.036</v>
      </c>
      <c r="H24" s="11" t="n">
        <v>0.01</v>
      </c>
      <c r="I24" s="22" t="n">
        <v>0.003</v>
      </c>
    </row>
    <row r="25" customFormat="false" ht="15" hidden="false" customHeight="false" outlineLevel="0" collapsed="false">
      <c r="A25" s="10" t="s">
        <v>117</v>
      </c>
      <c r="B25" s="8" t="s">
        <v>112</v>
      </c>
      <c r="C25" s="8" t="n">
        <v>20</v>
      </c>
      <c r="D25" s="11" t="n">
        <v>0.833</v>
      </c>
      <c r="E25" s="11" t="n">
        <v>0.286</v>
      </c>
      <c r="F25" s="11" t="n">
        <v>0.124</v>
      </c>
      <c r="G25" s="11" t="n">
        <v>0.04</v>
      </c>
      <c r="H25" s="11" t="n">
        <v>0.013</v>
      </c>
      <c r="I25" s="22" t="n">
        <v>0.002</v>
      </c>
    </row>
    <row r="26" customFormat="false" ht="15" hidden="false" customHeight="false" outlineLevel="0" collapsed="false">
      <c r="A26" s="10" t="s">
        <v>47</v>
      </c>
      <c r="B26" s="8" t="s">
        <v>40</v>
      </c>
      <c r="C26" s="8" t="n">
        <v>25</v>
      </c>
      <c r="D26" s="11" t="n">
        <v>0.759</v>
      </c>
      <c r="E26" s="11" t="n">
        <v>0.363</v>
      </c>
      <c r="F26" s="11" t="n">
        <v>0.115</v>
      </c>
      <c r="G26" s="11" t="n">
        <v>0.036</v>
      </c>
      <c r="H26" s="11" t="n">
        <v>0.009</v>
      </c>
      <c r="I26" s="22" t="n">
        <v>0.002</v>
      </c>
    </row>
    <row r="27" customFormat="false" ht="15" hidden="false" customHeight="false" outlineLevel="0" collapsed="false">
      <c r="A27" s="10" t="s">
        <v>152</v>
      </c>
      <c r="B27" s="8" t="s">
        <v>148</v>
      </c>
      <c r="C27" s="8" t="n">
        <v>24</v>
      </c>
      <c r="D27" s="11" t="n">
        <v>0.698</v>
      </c>
      <c r="E27" s="11" t="n">
        <v>0.289</v>
      </c>
      <c r="F27" s="11" t="n">
        <v>0.096</v>
      </c>
      <c r="G27" s="11" t="n">
        <v>0.027</v>
      </c>
      <c r="H27" s="11" t="n">
        <v>0.008</v>
      </c>
      <c r="I27" s="22" t="n">
        <v>0.002</v>
      </c>
    </row>
    <row r="28" customFormat="false" ht="15" hidden="false" customHeight="false" outlineLevel="0" collapsed="false">
      <c r="A28" s="10" t="s">
        <v>73</v>
      </c>
      <c r="B28" s="8" t="s">
        <v>68</v>
      </c>
      <c r="C28" s="8" t="n">
        <v>27</v>
      </c>
      <c r="D28" s="11" t="n">
        <v>0.662</v>
      </c>
      <c r="E28" s="11" t="n">
        <v>0.23</v>
      </c>
      <c r="F28" s="11" t="n">
        <v>0.094</v>
      </c>
      <c r="G28" s="11" t="n">
        <v>0.026</v>
      </c>
      <c r="H28" s="11" t="n">
        <v>0.006</v>
      </c>
      <c r="I28" s="22" t="n">
        <v>0.001</v>
      </c>
    </row>
    <row r="29" customFormat="false" ht="15" hidden="false" customHeight="false" outlineLevel="0" collapsed="false">
      <c r="A29" s="10" t="s">
        <v>150</v>
      </c>
      <c r="B29" s="8" t="s">
        <v>148</v>
      </c>
      <c r="C29" s="8" t="n">
        <v>28</v>
      </c>
      <c r="D29" s="11" t="n">
        <v>0.645</v>
      </c>
      <c r="E29" s="11" t="n">
        <v>0.24</v>
      </c>
      <c r="F29" s="11" t="n">
        <v>0.074</v>
      </c>
      <c r="G29" s="11" t="n">
        <v>0.02</v>
      </c>
      <c r="H29" s="11" t="n">
        <v>0.005</v>
      </c>
      <c r="I29" s="22" t="n">
        <v>0.001</v>
      </c>
    </row>
    <row r="30" customFormat="false" ht="15" hidden="false" customHeight="false" outlineLevel="0" collapsed="false">
      <c r="A30" s="10" t="s">
        <v>114</v>
      </c>
      <c r="B30" s="8" t="s">
        <v>112</v>
      </c>
      <c r="C30" s="8" t="n">
        <v>29</v>
      </c>
      <c r="D30" s="11" t="n">
        <v>0.713</v>
      </c>
      <c r="E30" s="11" t="n">
        <v>0.183</v>
      </c>
      <c r="F30" s="11" t="n">
        <v>0.063</v>
      </c>
      <c r="G30" s="11" t="n">
        <v>0.017</v>
      </c>
      <c r="H30" s="11" t="n">
        <v>0.004</v>
      </c>
      <c r="I30" s="22" t="n">
        <v>0.001</v>
      </c>
    </row>
    <row r="31" customFormat="false" ht="15" hidden="false" customHeight="false" outlineLevel="0" collapsed="false">
      <c r="A31" s="10" t="s">
        <v>128</v>
      </c>
      <c r="B31" s="8" t="s">
        <v>123</v>
      </c>
      <c r="C31" s="8" t="n">
        <v>31</v>
      </c>
      <c r="D31" s="11" t="n">
        <v>0.547</v>
      </c>
      <c r="E31" s="11" t="n">
        <v>0.207</v>
      </c>
      <c r="F31" s="11" t="n">
        <v>0.064</v>
      </c>
      <c r="G31" s="11" t="n">
        <v>0.016</v>
      </c>
      <c r="H31" s="11" t="n">
        <v>0.003</v>
      </c>
      <c r="I31" s="22" t="n">
        <v>0.001</v>
      </c>
    </row>
    <row r="32" customFormat="false" ht="15" hidden="false" customHeight="false" outlineLevel="0" collapsed="false">
      <c r="A32" s="10" t="s">
        <v>91</v>
      </c>
      <c r="B32" s="8" t="s">
        <v>87</v>
      </c>
      <c r="C32" s="8" t="n">
        <v>33</v>
      </c>
      <c r="D32" s="11" t="n">
        <v>0.686</v>
      </c>
      <c r="E32" s="11" t="n">
        <v>0.238</v>
      </c>
      <c r="F32" s="11" t="n">
        <v>0.062</v>
      </c>
      <c r="G32" s="11" t="n">
        <v>0.016</v>
      </c>
      <c r="H32" s="11" t="n">
        <v>0.003</v>
      </c>
      <c r="I32" s="22" t="n">
        <v>0</v>
      </c>
    </row>
    <row r="33" customFormat="false" ht="15" hidden="false" customHeight="false" outlineLevel="0" collapsed="false">
      <c r="A33" s="10" t="s">
        <v>101</v>
      </c>
      <c r="B33" s="8" t="s">
        <v>96</v>
      </c>
      <c r="C33" s="8" t="n">
        <v>38</v>
      </c>
      <c r="D33" s="11" t="n">
        <v>0.511</v>
      </c>
      <c r="E33" s="11" t="n">
        <v>0.161</v>
      </c>
      <c r="F33" s="11" t="n">
        <v>0.048</v>
      </c>
      <c r="G33" s="11" t="n">
        <v>0.01</v>
      </c>
      <c r="H33" s="11" t="n">
        <v>0.002</v>
      </c>
      <c r="I33" s="22" t="n">
        <v>0</v>
      </c>
    </row>
    <row r="34" customFormat="false" ht="15" hidden="false" customHeight="false" outlineLevel="0" collapsed="false">
      <c r="A34" s="10" t="s">
        <v>83</v>
      </c>
      <c r="B34" s="8" t="s">
        <v>79</v>
      </c>
      <c r="C34" s="8" t="n">
        <v>42</v>
      </c>
      <c r="D34" s="11" t="n">
        <v>0.526</v>
      </c>
      <c r="E34" s="11" t="n">
        <v>0.137</v>
      </c>
      <c r="F34" s="11" t="n">
        <v>0.03</v>
      </c>
      <c r="G34" s="11" t="n">
        <v>0.007</v>
      </c>
      <c r="H34" s="11" t="n">
        <v>0.001</v>
      </c>
      <c r="I34" s="22" t="n">
        <v>0</v>
      </c>
    </row>
    <row r="35" customFormat="false" ht="15" hidden="false" customHeight="false" outlineLevel="0" collapsed="false">
      <c r="A35" s="10" t="s">
        <v>48</v>
      </c>
      <c r="B35" s="8" t="s">
        <v>40</v>
      </c>
      <c r="C35" s="8" t="n">
        <v>40</v>
      </c>
      <c r="D35" s="11" t="n">
        <v>0.579</v>
      </c>
      <c r="E35" s="11" t="n">
        <v>0.198</v>
      </c>
      <c r="F35" s="11" t="n">
        <v>0.043</v>
      </c>
      <c r="G35" s="11" t="n">
        <v>0.008</v>
      </c>
      <c r="H35" s="11" t="n">
        <v>0.001</v>
      </c>
      <c r="I35" s="22" t="n">
        <v>0</v>
      </c>
    </row>
    <row r="36" customFormat="false" ht="15" hidden="false" customHeight="false" outlineLevel="0" collapsed="false">
      <c r="A36" s="10" t="s">
        <v>102</v>
      </c>
      <c r="B36" s="8" t="s">
        <v>96</v>
      </c>
      <c r="C36" s="8" t="n">
        <v>45</v>
      </c>
      <c r="D36" s="11" t="n">
        <v>0.431</v>
      </c>
      <c r="E36" s="11" t="n">
        <v>0.12</v>
      </c>
      <c r="F36" s="11" t="n">
        <v>0.031</v>
      </c>
      <c r="G36" s="11" t="n">
        <v>0.005</v>
      </c>
      <c r="H36" s="11" t="n">
        <v>0.001</v>
      </c>
      <c r="I36" s="22" t="n">
        <v>0</v>
      </c>
    </row>
    <row r="37" customFormat="false" ht="15" hidden="false" customHeight="false" outlineLevel="0" collapsed="false">
      <c r="A37" s="10" t="s">
        <v>138</v>
      </c>
      <c r="B37" s="8" t="s">
        <v>132</v>
      </c>
      <c r="C37" s="8" t="n">
        <v>34</v>
      </c>
      <c r="D37" s="11" t="n">
        <v>0.557</v>
      </c>
      <c r="E37" s="11" t="n">
        <v>0.158</v>
      </c>
      <c r="F37" s="11" t="n">
        <v>0.045</v>
      </c>
      <c r="G37" s="11" t="n">
        <v>0.01</v>
      </c>
      <c r="H37" s="11" t="n">
        <v>0.002</v>
      </c>
      <c r="I37" s="22" t="n">
        <v>0</v>
      </c>
    </row>
    <row r="38" customFormat="false" ht="15" hidden="false" customHeight="false" outlineLevel="0" collapsed="false">
      <c r="A38" s="10" t="s">
        <v>127</v>
      </c>
      <c r="B38" s="8" t="s">
        <v>123</v>
      </c>
      <c r="C38" s="8" t="n">
        <v>57</v>
      </c>
      <c r="D38" s="11" t="n">
        <v>0.288</v>
      </c>
      <c r="E38" s="11" t="n">
        <v>0.072</v>
      </c>
      <c r="F38" s="11" t="n">
        <v>0.014</v>
      </c>
      <c r="G38" s="11" t="n">
        <v>0.002</v>
      </c>
      <c r="H38" s="11" t="n">
        <v>0</v>
      </c>
      <c r="I38" s="22" t="n">
        <v>0</v>
      </c>
    </row>
    <row r="39" customFormat="false" ht="15" hidden="false" customHeight="false" outlineLevel="0" collapsed="false">
      <c r="A39" s="10" t="s">
        <v>43</v>
      </c>
      <c r="B39" s="8" t="s">
        <v>40</v>
      </c>
      <c r="C39" s="8" t="n">
        <v>60</v>
      </c>
      <c r="D39" s="11" t="n">
        <v>0.4</v>
      </c>
      <c r="E39" s="11" t="n">
        <v>0.103</v>
      </c>
      <c r="F39" s="11" t="n">
        <v>0.018</v>
      </c>
      <c r="G39" s="11" t="n">
        <v>0.003</v>
      </c>
      <c r="H39" s="11" t="n">
        <v>0</v>
      </c>
      <c r="I39" s="22" t="n">
        <v>0</v>
      </c>
    </row>
    <row r="40" customFormat="false" ht="15" hidden="false" customHeight="false" outlineLevel="0" collapsed="false">
      <c r="A40" s="10" t="s">
        <v>59</v>
      </c>
      <c r="B40" s="8" t="s">
        <v>57</v>
      </c>
      <c r="C40" s="8" t="n">
        <v>64</v>
      </c>
      <c r="D40" s="11" t="n">
        <v>0.452</v>
      </c>
      <c r="E40" s="11" t="n">
        <v>0.108</v>
      </c>
      <c r="F40" s="11" t="n">
        <v>0.015</v>
      </c>
      <c r="G40" s="11" t="n">
        <v>0.002</v>
      </c>
      <c r="H40" s="11" t="n">
        <v>0</v>
      </c>
      <c r="I40" s="22" t="n">
        <v>0</v>
      </c>
    </row>
    <row r="41" customFormat="false" ht="15" hidden="false" customHeight="false" outlineLevel="0" collapsed="false">
      <c r="A41" s="10" t="s">
        <v>62</v>
      </c>
      <c r="B41" s="8" t="s">
        <v>57</v>
      </c>
      <c r="C41" s="8" t="n">
        <v>56</v>
      </c>
      <c r="D41" s="11" t="n">
        <v>0.516</v>
      </c>
      <c r="E41" s="11" t="n">
        <v>0.141</v>
      </c>
      <c r="F41" s="11" t="n">
        <v>0.023</v>
      </c>
      <c r="G41" s="11" t="n">
        <v>0.003</v>
      </c>
      <c r="H41" s="11" t="n">
        <v>0</v>
      </c>
      <c r="I41" s="22" t="n">
        <v>0</v>
      </c>
    </row>
    <row r="42" customFormat="false" ht="15" hidden="false" customHeight="false" outlineLevel="0" collapsed="false">
      <c r="A42" s="10" t="s">
        <v>70</v>
      </c>
      <c r="B42" s="8" t="s">
        <v>68</v>
      </c>
      <c r="C42" s="8" t="n">
        <v>41</v>
      </c>
      <c r="D42" s="11" t="n">
        <v>0.458</v>
      </c>
      <c r="E42" s="11" t="n">
        <v>0.112</v>
      </c>
      <c r="F42" s="11" t="n">
        <v>0.033</v>
      </c>
      <c r="G42" s="11" t="n">
        <v>0.006</v>
      </c>
      <c r="H42" s="11" t="n">
        <v>0.001</v>
      </c>
      <c r="I42" s="22" t="n">
        <v>0</v>
      </c>
    </row>
    <row r="43" customFormat="false" ht="15" hidden="false" customHeight="false" outlineLevel="0" collapsed="false">
      <c r="A43" s="10" t="s">
        <v>82</v>
      </c>
      <c r="B43" s="8" t="s">
        <v>79</v>
      </c>
      <c r="C43" s="8" t="n">
        <v>83</v>
      </c>
      <c r="D43" s="11" t="n">
        <v>0.207</v>
      </c>
      <c r="E43" s="11" t="n">
        <v>0.027</v>
      </c>
      <c r="F43" s="11" t="n">
        <v>0.004</v>
      </c>
      <c r="G43" s="11" t="n">
        <v>0</v>
      </c>
      <c r="H43" s="11" t="n">
        <v>0</v>
      </c>
      <c r="I43" s="22" t="n">
        <v>0</v>
      </c>
    </row>
    <row r="44" customFormat="false" ht="15" hidden="false" customHeight="false" outlineLevel="0" collapsed="false">
      <c r="A44" s="10" t="s">
        <v>89</v>
      </c>
      <c r="B44" s="8" t="s">
        <v>87</v>
      </c>
      <c r="C44" s="8" t="n">
        <v>82</v>
      </c>
      <c r="D44" s="11" t="n">
        <v>0.272</v>
      </c>
      <c r="E44" s="11" t="n">
        <v>0.04</v>
      </c>
      <c r="F44" s="11" t="n">
        <v>0.004</v>
      </c>
      <c r="G44" s="11" t="n">
        <v>0</v>
      </c>
      <c r="H44" s="11" t="n">
        <v>0</v>
      </c>
      <c r="I44" s="22" t="n">
        <v>0</v>
      </c>
    </row>
    <row r="45" customFormat="false" ht="15" hidden="false" customHeight="false" outlineLevel="0" collapsed="false">
      <c r="A45" s="10" t="s">
        <v>105</v>
      </c>
      <c r="B45" s="8" t="s">
        <v>104</v>
      </c>
      <c r="C45" s="8" t="n">
        <v>61</v>
      </c>
      <c r="D45" s="11" t="n">
        <v>0.372</v>
      </c>
      <c r="E45" s="11" t="n">
        <v>0.08</v>
      </c>
      <c r="F45" s="11" t="n">
        <v>0.012</v>
      </c>
      <c r="G45" s="11" t="n">
        <v>0.002</v>
      </c>
      <c r="H45" s="11" t="n">
        <v>0</v>
      </c>
      <c r="I45" s="22" t="n">
        <v>0</v>
      </c>
    </row>
    <row r="46" customFormat="false" ht="15" hidden="false" customHeight="false" outlineLevel="0" collapsed="false">
      <c r="A46" s="10" t="s">
        <v>109</v>
      </c>
      <c r="B46" s="8" t="s">
        <v>104</v>
      </c>
      <c r="C46" s="8" t="n">
        <v>67</v>
      </c>
      <c r="D46" s="11" t="n">
        <v>0.324</v>
      </c>
      <c r="E46" s="11" t="n">
        <v>0.066</v>
      </c>
      <c r="F46" s="11" t="n">
        <v>0.009</v>
      </c>
      <c r="G46" s="11" t="n">
        <v>0.001</v>
      </c>
      <c r="H46" s="11" t="n">
        <v>0</v>
      </c>
      <c r="I46" s="22" t="n">
        <v>0</v>
      </c>
    </row>
    <row r="47" customFormat="false" ht="15" hidden="false" customHeight="false" outlineLevel="0" collapsed="false">
      <c r="A47" s="10" t="s">
        <v>118</v>
      </c>
      <c r="B47" s="8" t="s">
        <v>112</v>
      </c>
      <c r="C47" s="8" t="n">
        <v>85</v>
      </c>
      <c r="D47" s="11" t="n">
        <v>0.229</v>
      </c>
      <c r="E47" s="11" t="n">
        <v>0.02</v>
      </c>
      <c r="F47" s="11" t="n">
        <v>0.002</v>
      </c>
      <c r="G47" s="11" t="n">
        <v>0</v>
      </c>
      <c r="H47" s="11" t="n">
        <v>0</v>
      </c>
      <c r="I47" s="22" t="n">
        <v>0</v>
      </c>
    </row>
    <row r="48" customFormat="false" ht="15" hidden="false" customHeight="false" outlineLevel="0" collapsed="false">
      <c r="A48" s="10" t="s">
        <v>137</v>
      </c>
      <c r="B48" s="8" t="s">
        <v>132</v>
      </c>
      <c r="C48" s="8" t="n">
        <v>73</v>
      </c>
      <c r="D48" s="11" t="n">
        <v>0.223</v>
      </c>
      <c r="E48" s="11" t="n">
        <v>0.031</v>
      </c>
      <c r="F48" s="11" t="n">
        <v>0.004</v>
      </c>
      <c r="G48" s="11" t="n">
        <v>0</v>
      </c>
      <c r="H48" s="11" t="n">
        <v>0</v>
      </c>
      <c r="I48" s="22" t="n">
        <v>0</v>
      </c>
    </row>
    <row r="49" customFormat="false" ht="15" hidden="false" customHeight="false" outlineLevel="0" collapsed="false">
      <c r="A49" s="10" t="s">
        <v>143</v>
      </c>
      <c r="B49" s="8" t="s">
        <v>141</v>
      </c>
      <c r="C49" s="8" t="n">
        <v>46</v>
      </c>
      <c r="D49" s="11" t="n">
        <v>0.437</v>
      </c>
      <c r="E49" s="11" t="n">
        <v>0.102</v>
      </c>
      <c r="F49" s="11" t="n">
        <v>0.023</v>
      </c>
      <c r="G49" s="11" t="n">
        <v>0.004</v>
      </c>
      <c r="H49" s="11" t="n">
        <v>0</v>
      </c>
      <c r="I49" s="22" t="n">
        <v>0</v>
      </c>
    </row>
    <row r="50" customFormat="false" ht="15" hidden="false" customHeight="false" outlineLevel="0" collapsed="false">
      <c r="A50" s="10" t="s">
        <v>145</v>
      </c>
      <c r="B50" s="8" t="s">
        <v>141</v>
      </c>
      <c r="C50" s="8" t="n">
        <v>50</v>
      </c>
      <c r="D50" s="11" t="n">
        <v>0.406</v>
      </c>
      <c r="E50" s="11" t="n">
        <v>0.091</v>
      </c>
      <c r="F50" s="11" t="n">
        <v>0.019</v>
      </c>
      <c r="G50" s="11" t="n">
        <v>0.003</v>
      </c>
      <c r="H50" s="11" t="n">
        <v>0</v>
      </c>
      <c r="I50" s="22" t="n">
        <v>0</v>
      </c>
    </row>
    <row r="51" customFormat="false" ht="15" hidden="false" customHeight="false" outlineLevel="0" collapsed="false">
      <c r="A51" s="10" t="s">
        <v>153</v>
      </c>
      <c r="B51" s="8" t="s">
        <v>148</v>
      </c>
      <c r="C51" s="8" t="n">
        <v>63</v>
      </c>
      <c r="D51" s="11" t="n">
        <v>0.292</v>
      </c>
      <c r="E51" s="11" t="n">
        <v>0.056</v>
      </c>
      <c r="F51" s="11" t="n">
        <v>0.009</v>
      </c>
      <c r="G51" s="11" t="n">
        <v>0.001</v>
      </c>
      <c r="H51" s="11" t="n">
        <v>0</v>
      </c>
      <c r="I51" s="22" t="n">
        <v>0</v>
      </c>
    </row>
  </sheetData>
  <autoFilter ref="A3:I51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</cols>
  <sheetData>
    <row r="1" customFormat="false" ht="17.35" hidden="false" customHeight="false" outlineLevel="0" collapsed="false">
      <c r="A1" s="18" t="s">
        <v>240</v>
      </c>
    </row>
    <row r="3" customFormat="false" ht="15" hidden="false" customHeight="false" outlineLevel="0" collapsed="false">
      <c r="A3" s="0" t="s">
        <v>158</v>
      </c>
      <c r="B3" s="0" t="s">
        <v>239</v>
      </c>
    </row>
    <row r="4" customFormat="false" ht="15" hidden="false" customHeight="false" outlineLevel="0" collapsed="false">
      <c r="A4" s="0" t="s">
        <v>124</v>
      </c>
      <c r="B4" s="23" t="n">
        <v>0.189</v>
      </c>
    </row>
    <row r="5" customFormat="false" ht="15" hidden="false" customHeight="false" outlineLevel="0" collapsed="false">
      <c r="A5" s="0" t="s">
        <v>149</v>
      </c>
      <c r="B5" s="23" t="n">
        <v>0.184</v>
      </c>
    </row>
    <row r="6" customFormat="false" ht="15" hidden="false" customHeight="false" outlineLevel="0" collapsed="false">
      <c r="A6" s="0" t="s">
        <v>108</v>
      </c>
      <c r="B6" s="23" t="n">
        <v>0.163</v>
      </c>
    </row>
    <row r="7" customFormat="false" ht="15" hidden="false" customHeight="false" outlineLevel="0" collapsed="false">
      <c r="A7" s="0" t="s">
        <v>134</v>
      </c>
      <c r="B7" s="23" t="n">
        <v>0.096</v>
      </c>
    </row>
    <row r="8" customFormat="false" ht="15" hidden="false" customHeight="false" outlineLevel="0" collapsed="false">
      <c r="A8" s="0" t="s">
        <v>142</v>
      </c>
      <c r="B8" s="23" t="n">
        <v>0.044</v>
      </c>
    </row>
    <row r="9" customFormat="false" ht="15" hidden="false" customHeight="false" outlineLevel="0" collapsed="false">
      <c r="A9" s="0" t="s">
        <v>97</v>
      </c>
      <c r="B9" s="23" t="n">
        <v>0.04</v>
      </c>
    </row>
    <row r="10" customFormat="false" ht="15" hidden="false" customHeight="false" outlineLevel="0" collapsed="false">
      <c r="A10" s="0" t="s">
        <v>80</v>
      </c>
      <c r="B10" s="23" t="n">
        <v>0.04</v>
      </c>
    </row>
    <row r="11" customFormat="false" ht="15" hidden="false" customHeight="false" outlineLevel="0" collapsed="false">
      <c r="A11" s="0" t="s">
        <v>81</v>
      </c>
      <c r="B11" s="23" t="n">
        <v>0.038</v>
      </c>
    </row>
    <row r="12" customFormat="false" ht="15" hidden="false" customHeight="false" outlineLevel="0" collapsed="false">
      <c r="A12" s="0" t="s">
        <v>42</v>
      </c>
      <c r="B12" s="23" t="n">
        <v>0.036</v>
      </c>
    </row>
    <row r="13" customFormat="false" ht="15" hidden="false" customHeight="false" outlineLevel="0" collapsed="false">
      <c r="A13" s="0" t="s">
        <v>88</v>
      </c>
      <c r="B13" s="23" t="n">
        <v>0.027</v>
      </c>
    </row>
    <row r="14" customFormat="false" ht="15" hidden="false" customHeight="false" outlineLevel="0" collapsed="false">
      <c r="A14" s="0" t="s">
        <v>69</v>
      </c>
      <c r="B14" s="23" t="n">
        <v>0.027</v>
      </c>
    </row>
    <row r="15" customFormat="false" ht="15" hidden="false" customHeight="false" outlineLevel="0" collapsed="false">
      <c r="A15" s="0" t="s">
        <v>113</v>
      </c>
      <c r="B15" s="23" t="n">
        <v>0.024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2026-06-12T21:19:06Z</dcterms:created>
  <dc:creator>openpyxl</dc:creator>
  <dc:description/>
  <dc:language>en-US</dc:language>
  <cp:lastModifiedBy/>
  <dcterms:modified xsi:type="dcterms:W3CDTF">2026-06-12T21:19:09Z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