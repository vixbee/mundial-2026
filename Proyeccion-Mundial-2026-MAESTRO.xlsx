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Partidos A-L" sheetId="2" state="visible" r:id="rId4"/>
    <sheet name="Avance Montecarlo" sheetId="3" state="visible" r:id="rId5"/>
    <sheet name="Gráficos avance" sheetId="4" state="visible" r:id="rId6"/>
    <sheet name="Cuadro R32" sheetId="5" state="visible" r:id="rId7"/>
    <sheet name="Camino a la final" sheetId="6" state="visible" r:id="rId8"/>
    <sheet name="Favoritos" sheetId="7" state="visible" r:id="rId9"/>
    <sheet name="Cuadro octavos-final" sheetId="8" state="visible" r:id="rId10"/>
  </sheets>
  <definedNames>
    <definedName function="false" hidden="true" localSheetId="2" name="_xlnm._FilterDatabase" vbProcedure="false">'Avance Montecarlo'!$A$3:$G$51</definedName>
    <definedName function="false" hidden="true" localSheetId="5" name="_xlnm._FilterDatabase" vbProcedure="false">'Camino a la final'!$A$3:$I$51</definedName>
    <definedName function="false" hidden="true" localSheetId="1" name="_xlnm._FilterDatabase" vbProcedure="false">'Partidos A-L'!$A$3:$P$75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<sst xmlns="http://schemas.openxmlformats.org/spreadsheetml/2006/main" count="1143" uniqueCount="315">
  <si>
    <t xml:space="preserve">Proyección Mundial 2026 — Archivo maestro</t>
  </si>
  <si>
    <t xml:space="preserve">Modelo basado en el ranking FIFA del 11 de junio de 2026</t>
  </si>
  <si>
    <t xml:space="preserve">Contenido del archivo</t>
  </si>
  <si>
    <t xml:space="preserve">1. Partidos A-L</t>
  </si>
  <si>
    <t xml:space="preserve">Proyección de los 72 partidos de grupos: probabilidad de victoria/empate/derrota, marcador más probable y ganador.</t>
  </si>
  <si>
    <t xml:space="preserve">2. Avance Montecarlo</t>
  </si>
  <si>
    <t xml:space="preserve">Probabilidad de cada selección de ganar su grupo y de avanzar (20.000 torneos simulados).</t>
  </si>
  <si>
    <t xml:space="preserve">3. Gráficos avance</t>
  </si>
  <si>
    <t xml:space="preserve">Barras de probabilidad de avanzar por grupo.</t>
  </si>
  <si>
    <t xml:space="preserve">4. Cuadro R32</t>
  </si>
  <si>
    <t xml:space="preserve">Dieciseisavos emparejados con los clasificados más probables (estructura oficial FIFA).</t>
  </si>
  <si>
    <t xml:space="preserve">5. Camino a la final</t>
  </si>
  <si>
    <t xml:space="preserve">Probabilidad de llegar a octavos, cuartos, semis, final y de ser campeón.</t>
  </si>
  <si>
    <t xml:space="preserve">6. Favoritos</t>
  </si>
  <si>
    <t xml:space="preserve">Gráfico de los 12 candidatos al título.</t>
  </si>
  <si>
    <t xml:space="preserve">Metodología</t>
  </si>
  <si>
    <t xml:space="preserve">Puntos</t>
  </si>
  <si>
    <t xml:space="preserve">Cada posición FIFA se convierte en puntos aproximados; la diferencia alimenta una fórmula tipo Elo (divisor 600).</t>
  </si>
  <si>
    <t xml:space="preserve">Goles</t>
  </si>
  <si>
    <t xml:space="preserve">Del desbalance se derivan goles esperados y se modelan con Poisson (media 2.6 goles/partido).</t>
  </si>
  <si>
    <t xml:space="preserve">Anfitriones</t>
  </si>
  <si>
    <t xml:space="preserve">Ventaja de +60 puntos solo a México, EE.UU. y Canadá en sus partidos.</t>
  </si>
  <si>
    <t xml:space="preserve">Simulación</t>
  </si>
  <si>
    <t xml:space="preserve">20.000 torneos completos con puntos 3/1/0, desempates oficiales y penales por fuerza relativa.</t>
  </si>
  <si>
    <t xml:space="preserve">Advertencias</t>
  </si>
  <si>
    <t xml:space="preserve">Es una estimación probabilística reproducible, NO un pronóstico fiable. Solo usa el ranking: ignora lesiones, forma y bajas. Los cruces de octavos en adelante usan el orden estándar del cuadro.</t>
  </si>
  <si>
    <t xml:space="preserve">Resultados reales y proyección — 72 partidos de grupos (hora de Ciudad de México)</t>
  </si>
  <si>
    <t xml:space="preserve">Grupo</t>
  </si>
  <si>
    <t xml:space="preserve">Fecha</t>
  </si>
  <si>
    <t xml:space="preserve">Hora (CDMX)</t>
  </si>
  <si>
    <t xml:space="preserve">Estadio</t>
  </si>
  <si>
    <t xml:space="preserve">Local</t>
  </si>
  <si>
    <t xml:space="preserve">Rank L</t>
  </si>
  <si>
    <t xml:space="preserve">Visitante</t>
  </si>
  <si>
    <t xml:space="preserve">Rank V</t>
  </si>
  <si>
    <t xml:space="preserve">Dif. ranking</t>
  </si>
  <si>
    <t xml:space="preserve">Prob. Local</t>
  </si>
  <si>
    <t xml:space="preserve">Prob. Empate</t>
  </si>
  <si>
    <t xml:space="preserve">Prob. Visitante</t>
  </si>
  <si>
    <t xml:space="preserve">Marcador</t>
  </si>
  <si>
    <t xml:space="preserve">Pronóstico / Resultado</t>
  </si>
  <si>
    <t xml:space="preserve">Ganador / Empate</t>
  </si>
  <si>
    <t xml:space="preserve">Estado</t>
  </si>
  <si>
    <t xml:space="preserve">A</t>
  </si>
  <si>
    <t xml:space="preserve">11 jun</t>
  </si>
  <si>
    <t xml:space="preserve">13:00</t>
  </si>
  <si>
    <t xml:space="preserve">Estadio Azteca, Mexico City</t>
  </si>
  <si>
    <t xml:space="preserve">México</t>
  </si>
  <si>
    <t xml:space="preserve">Sudáfrica</t>
  </si>
  <si>
    <t xml:space="preserve">2 – 0</t>
  </si>
  <si>
    <t xml:space="preserve">Ganó México</t>
  </si>
  <si>
    <t xml:space="preserve">FINAL</t>
  </si>
  <si>
    <t xml:space="preserve">20:00</t>
  </si>
  <si>
    <t xml:space="preserve">Estadio Akron, Guadalajara</t>
  </si>
  <si>
    <t xml:space="preserve">Corea del Sur</t>
  </si>
  <si>
    <t xml:space="preserve">República Checa</t>
  </si>
  <si>
    <t xml:space="preserve">2 – 1</t>
  </si>
  <si>
    <t xml:space="preserve">Ganó Corea del Sur</t>
  </si>
  <si>
    <t xml:space="preserve">18 jun</t>
  </si>
  <si>
    <t xml:space="preserve">10:00</t>
  </si>
  <si>
    <t xml:space="preserve">Mercedes-Benz Stadium, Atlanta</t>
  </si>
  <si>
    <t xml:space="preserve">1 – 1</t>
  </si>
  <si>
    <t xml:space="preserve">Favorito: República Checa</t>
  </si>
  <si>
    <t xml:space="preserve">Proyección</t>
  </si>
  <si>
    <t xml:space="preserve">19:00</t>
  </si>
  <si>
    <t xml:space="preserve">1 – 0</t>
  </si>
  <si>
    <t xml:space="preserve">Favorito: México</t>
  </si>
  <si>
    <t xml:space="preserve">24 jun</t>
  </si>
  <si>
    <t xml:space="preserve">0 – 1</t>
  </si>
  <si>
    <t xml:space="preserve">Estadio BBVA, Monterrey</t>
  </si>
  <si>
    <t xml:space="preserve">Favorito: Corea del Sur</t>
  </si>
  <si>
    <t xml:space="preserve">B</t>
  </si>
  <si>
    <t xml:space="preserve">12 jun</t>
  </si>
  <si>
    <t xml:space="preserve">BMO Field, Toronto</t>
  </si>
  <si>
    <t xml:space="preserve">Canadá</t>
  </si>
  <si>
    <t xml:space="preserve">Bosnia y Herzegovina</t>
  </si>
  <si>
    <t xml:space="preserve">Empate</t>
  </si>
  <si>
    <t xml:space="preserve">13 jun</t>
  </si>
  <si>
    <t xml:space="preserve">Levi's Stadium, San Francisco Bay Area</t>
  </si>
  <si>
    <t xml:space="preserve">Catar</t>
  </si>
  <si>
    <t xml:space="preserve">Suiza</t>
  </si>
  <si>
    <t xml:space="preserve">SoFi Stadium, Los Angeles</t>
  </si>
  <si>
    <t xml:space="preserve">Favorito: Suiza</t>
  </si>
  <si>
    <t xml:space="preserve">16:00</t>
  </si>
  <si>
    <t xml:space="preserve">BC Place, Vancouver</t>
  </si>
  <si>
    <t xml:space="preserve">Favorito: Canadá</t>
  </si>
  <si>
    <t xml:space="preserve">Parejo</t>
  </si>
  <si>
    <t xml:space="preserve">Lumen Field, Seattle</t>
  </si>
  <si>
    <t xml:space="preserve">C</t>
  </si>
  <si>
    <t xml:space="preserve">Estados Unidos</t>
  </si>
  <si>
    <t xml:space="preserve">Paraguay</t>
  </si>
  <si>
    <t xml:space="preserve">4 – 1</t>
  </si>
  <si>
    <t xml:space="preserve">Ganó Estados Unidos</t>
  </si>
  <si>
    <t xml:space="preserve">22:00</t>
  </si>
  <si>
    <t xml:space="preserve">Australia</t>
  </si>
  <si>
    <t xml:space="preserve">Turquía</t>
  </si>
  <si>
    <t xml:space="preserve">Ganó Australia</t>
  </si>
  <si>
    <t xml:space="preserve">19 jun</t>
  </si>
  <si>
    <t xml:space="preserve">Favorito: Estados Unidos</t>
  </si>
  <si>
    <t xml:space="preserve">21:00</t>
  </si>
  <si>
    <t xml:space="preserve">Favorito: Turquía</t>
  </si>
  <si>
    <t xml:space="preserve">25 jun</t>
  </si>
  <si>
    <t xml:space="preserve">Favorito: Australia</t>
  </si>
  <si>
    <t xml:space="preserve">D</t>
  </si>
  <si>
    <t xml:space="preserve">MetLife Stadium, New York New Jersey</t>
  </si>
  <si>
    <t xml:space="preserve">Brasil</t>
  </si>
  <si>
    <t xml:space="preserve">Marruecos</t>
  </si>
  <si>
    <t xml:space="preserve">Gillette Stadium, Boston</t>
  </si>
  <si>
    <t xml:space="preserve">Haití</t>
  </si>
  <si>
    <t xml:space="preserve">Escocia</t>
  </si>
  <si>
    <t xml:space="preserve">Ganó Escocia</t>
  </si>
  <si>
    <t xml:space="preserve">Favorito: Marruecos</t>
  </si>
  <si>
    <t xml:space="preserve">18:30</t>
  </si>
  <si>
    <t xml:space="preserve">Lincoln Financial Field, Philadelphia</t>
  </si>
  <si>
    <t xml:space="preserve">Favorito: Brasil</t>
  </si>
  <si>
    <t xml:space="preserve">Hard Rock Stadium, Miami</t>
  </si>
  <si>
    <t xml:space="preserve">E</t>
  </si>
  <si>
    <t xml:space="preserve">14 jun</t>
  </si>
  <si>
    <t xml:space="preserve">11:00</t>
  </si>
  <si>
    <t xml:space="preserve">NRG Stadium, Houston</t>
  </si>
  <si>
    <t xml:space="preserve">Alemania</t>
  </si>
  <si>
    <t xml:space="preserve">Curazao</t>
  </si>
  <si>
    <t xml:space="preserve">7 – 1</t>
  </si>
  <si>
    <t xml:space="preserve">Ganó Alemania</t>
  </si>
  <si>
    <t xml:space="preserve">17:00</t>
  </si>
  <si>
    <t xml:space="preserve">Costa de Marfil</t>
  </si>
  <si>
    <t xml:space="preserve">Ecuador</t>
  </si>
  <si>
    <t xml:space="preserve">Ganó Costa de Marfil</t>
  </si>
  <si>
    <t xml:space="preserve">20 jun</t>
  </si>
  <si>
    <t xml:space="preserve">14:00</t>
  </si>
  <si>
    <t xml:space="preserve">Favorito: Alemania</t>
  </si>
  <si>
    <t xml:space="preserve">18:00</t>
  </si>
  <si>
    <t xml:space="preserve">Arrowhead Stadium, Kansas City</t>
  </si>
  <si>
    <t xml:space="preserve">Favorito: Ecuador</t>
  </si>
  <si>
    <t xml:space="preserve">Favorito: Costa de Marfil</t>
  </si>
  <si>
    <t xml:space="preserve">F</t>
  </si>
  <si>
    <t xml:space="preserve">AT&amp;T Stadium, Dallas</t>
  </si>
  <si>
    <t xml:space="preserve">Países Bajos</t>
  </si>
  <si>
    <t xml:space="preserve">Japón</t>
  </si>
  <si>
    <t xml:space="preserve">2 – 2</t>
  </si>
  <si>
    <t xml:space="preserve">Suecia</t>
  </si>
  <si>
    <t xml:space="preserve">Túnez</t>
  </si>
  <si>
    <t xml:space="preserve">5 – 1</t>
  </si>
  <si>
    <t xml:space="preserve">Ganó Suecia</t>
  </si>
  <si>
    <t xml:space="preserve">Favorito: Países Bajos</t>
  </si>
  <si>
    <t xml:space="preserve">Favorito: Japón</t>
  </si>
  <si>
    <t xml:space="preserve">G</t>
  </si>
  <si>
    <t xml:space="preserve">15 jun</t>
  </si>
  <si>
    <t xml:space="preserve">Arabia Saudita</t>
  </si>
  <si>
    <t xml:space="preserve">Uruguay</t>
  </si>
  <si>
    <t xml:space="preserve">España</t>
  </si>
  <si>
    <t xml:space="preserve">Cabo Verde</t>
  </si>
  <si>
    <t xml:space="preserve">0 – 0</t>
  </si>
  <si>
    <t xml:space="preserve">21 jun</t>
  </si>
  <si>
    <t xml:space="preserve">Favorito: España</t>
  </si>
  <si>
    <t xml:space="preserve">Favorito: Uruguay</t>
  </si>
  <si>
    <t xml:space="preserve">26 jun</t>
  </si>
  <si>
    <t xml:space="preserve">H</t>
  </si>
  <si>
    <t xml:space="preserve">Bélgica</t>
  </si>
  <si>
    <t xml:space="preserve">Egipto</t>
  </si>
  <si>
    <t xml:space="preserve">Irán</t>
  </si>
  <si>
    <t xml:space="preserve">Nueva Zelanda</t>
  </si>
  <si>
    <t xml:space="preserve">Favorito: Bélgica</t>
  </si>
  <si>
    <t xml:space="preserve">Favorito: Egipto</t>
  </si>
  <si>
    <t xml:space="preserve">Favorito: Irán</t>
  </si>
  <si>
    <t xml:space="preserve">0 – 2</t>
  </si>
  <si>
    <t xml:space="preserve">I</t>
  </si>
  <si>
    <t xml:space="preserve">16 jun</t>
  </si>
  <si>
    <t xml:space="preserve">Francia</t>
  </si>
  <si>
    <t xml:space="preserve">Senegal</t>
  </si>
  <si>
    <t xml:space="preserve">3 – 1</t>
  </si>
  <si>
    <t xml:space="preserve">Ganó Francia</t>
  </si>
  <si>
    <t xml:space="preserve">Irak</t>
  </si>
  <si>
    <t xml:space="preserve">Noruega</t>
  </si>
  <si>
    <t xml:space="preserve">Favorito: Noruega</t>
  </si>
  <si>
    <t xml:space="preserve">22 jun</t>
  </si>
  <si>
    <t xml:space="preserve">15:00</t>
  </si>
  <si>
    <t xml:space="preserve">Favorito: Francia</t>
  </si>
  <si>
    <t xml:space="preserve">Favorito: Senegal</t>
  </si>
  <si>
    <t xml:space="preserve">J</t>
  </si>
  <si>
    <t xml:space="preserve">17 jun</t>
  </si>
  <si>
    <t xml:space="preserve">Inglaterra</t>
  </si>
  <si>
    <t xml:space="preserve">Croacia</t>
  </si>
  <si>
    <t xml:space="preserve">Favorito: Inglaterra</t>
  </si>
  <si>
    <t xml:space="preserve">Ghana</t>
  </si>
  <si>
    <t xml:space="preserve">Panamá</t>
  </si>
  <si>
    <t xml:space="preserve">Favorito: Panamá</t>
  </si>
  <si>
    <t xml:space="preserve">23 jun</t>
  </si>
  <si>
    <t xml:space="preserve">Favorito: Croacia</t>
  </si>
  <si>
    <t xml:space="preserve">27 jun</t>
  </si>
  <si>
    <t xml:space="preserve">K</t>
  </si>
  <si>
    <t xml:space="preserve">Portugal</t>
  </si>
  <si>
    <t xml:space="preserve">RD Congo</t>
  </si>
  <si>
    <t xml:space="preserve">Favorito: Portugal</t>
  </si>
  <si>
    <t xml:space="preserve">Uzbekistán</t>
  </si>
  <si>
    <t xml:space="preserve">Colombia</t>
  </si>
  <si>
    <t xml:space="preserve">Favorito: Colombia</t>
  </si>
  <si>
    <t xml:space="preserve">17:30</t>
  </si>
  <si>
    <t xml:space="preserve">L</t>
  </si>
  <si>
    <t xml:space="preserve">Argentina</t>
  </si>
  <si>
    <t xml:space="preserve">Argelia</t>
  </si>
  <si>
    <t xml:space="preserve">3 – 0</t>
  </si>
  <si>
    <t xml:space="preserve">Ganó Argentina</t>
  </si>
  <si>
    <t xml:space="preserve">Austria</t>
  </si>
  <si>
    <t xml:space="preserve">Jordania</t>
  </si>
  <si>
    <t xml:space="preserve">Favorito: Austria</t>
  </si>
  <si>
    <t xml:space="preserve">Favorito: Argentina</t>
  </si>
  <si>
    <t xml:space="preserve">Favorito: Argelia</t>
  </si>
  <si>
    <t xml:space="preserve">Probabilidad de avanzar — Montecarlo (20.000 torneos)</t>
  </si>
  <si>
    <t xml:space="preserve">Selección</t>
  </si>
  <si>
    <t xml:space="preserve">Rank</t>
  </si>
  <si>
    <t xml:space="preserve">Prob. ganar grupo</t>
  </si>
  <si>
    <t xml:space="preserve">Prob. 1º o 2º</t>
  </si>
  <si>
    <t xml:space="preserve">Prob. avanzar</t>
  </si>
  <si>
    <t xml:space="preserve">Probabilidad de avanzar por grupo</t>
  </si>
  <si>
    <t xml:space="preserve">Dieciseisavos (Round of 32) — clasificados más probables</t>
  </si>
  <si>
    <t xml:space="preserve">Partido</t>
  </si>
  <si>
    <t xml:space="preserve">Equipo 1 (proyectado)</t>
  </si>
  <si>
    <t xml:space="preserve">Equipo 2 (proyectado)</t>
  </si>
  <si>
    <t xml:space="preserve">Sede</t>
  </si>
  <si>
    <t xml:space="preserve">M73</t>
  </si>
  <si>
    <t xml:space="preserve">28 jun</t>
  </si>
  <si>
    <t xml:space="preserve">Corea del Sur (2A)</t>
  </si>
  <si>
    <t xml:space="preserve">Canadá (2B)</t>
  </si>
  <si>
    <t xml:space="preserve">SoFi, Los Ángeles</t>
  </si>
  <si>
    <t xml:space="preserve">M74</t>
  </si>
  <si>
    <t xml:space="preserve">29 jun</t>
  </si>
  <si>
    <t xml:space="preserve">Alemania (1E)</t>
  </si>
  <si>
    <t xml:space="preserve">Turquía (3º C)</t>
  </si>
  <si>
    <t xml:space="preserve">Gillette, Boston</t>
  </si>
  <si>
    <t xml:space="preserve">M75</t>
  </si>
  <si>
    <t xml:space="preserve">Países Bajos (1F)</t>
  </si>
  <si>
    <t xml:space="preserve">Australia (2C)</t>
  </si>
  <si>
    <t xml:space="preserve">M76</t>
  </si>
  <si>
    <t xml:space="preserve">Estados Unidos (1C)</t>
  </si>
  <si>
    <t xml:space="preserve">Suecia (2F)</t>
  </si>
  <si>
    <t xml:space="preserve">NRG, Houston</t>
  </si>
  <si>
    <t xml:space="preserve">M77</t>
  </si>
  <si>
    <t xml:space="preserve">30 jun</t>
  </si>
  <si>
    <t xml:space="preserve">Francia (1I)</t>
  </si>
  <si>
    <t xml:space="preserve">Escocia (3º D)</t>
  </si>
  <si>
    <t xml:space="preserve">MetLife, Nueva York/NJ</t>
  </si>
  <si>
    <t xml:space="preserve">M78</t>
  </si>
  <si>
    <t xml:space="preserve">Costa de Marfil (2E)</t>
  </si>
  <si>
    <t xml:space="preserve">Senegal (2I)</t>
  </si>
  <si>
    <t xml:space="preserve">AT&amp;T, Dallas</t>
  </si>
  <si>
    <t xml:space="preserve">M79</t>
  </si>
  <si>
    <t xml:space="preserve">México (1A)</t>
  </si>
  <si>
    <t xml:space="preserve">Ecuador (3º E)</t>
  </si>
  <si>
    <t xml:space="preserve">Estadio Azteca, CDMX</t>
  </si>
  <si>
    <t xml:space="preserve">M80</t>
  </si>
  <si>
    <t xml:space="preserve">1 jul</t>
  </si>
  <si>
    <t xml:space="preserve">Argentina (1L)</t>
  </si>
  <si>
    <t xml:space="preserve">RD Congo (3º K)</t>
  </si>
  <si>
    <t xml:space="preserve">M81</t>
  </si>
  <si>
    <t xml:space="preserve">Brasil (1D)</t>
  </si>
  <si>
    <t xml:space="preserve">Panamá (3º J)</t>
  </si>
  <si>
    <t xml:space="preserve">M82</t>
  </si>
  <si>
    <t xml:space="preserve">España (1G)</t>
  </si>
  <si>
    <t xml:space="preserve">República Checa (3º A)</t>
  </si>
  <si>
    <t xml:space="preserve">M83</t>
  </si>
  <si>
    <t xml:space="preserve">2 jul</t>
  </si>
  <si>
    <t xml:space="preserve">Colombia (2K)</t>
  </si>
  <si>
    <t xml:space="preserve">Austria (2L)</t>
  </si>
  <si>
    <t xml:space="preserve">M84</t>
  </si>
  <si>
    <t xml:space="preserve">Bélgica (1H)</t>
  </si>
  <si>
    <t xml:space="preserve">Croacia (2J)</t>
  </si>
  <si>
    <t xml:space="preserve">M85</t>
  </si>
  <si>
    <t xml:space="preserve">Suiza (1B)</t>
  </si>
  <si>
    <t xml:space="preserve">Noruega (3º I)</t>
  </si>
  <si>
    <t xml:space="preserve">M86</t>
  </si>
  <si>
    <t xml:space="preserve">3 jul</t>
  </si>
  <si>
    <t xml:space="preserve">Inglaterra (1J)</t>
  </si>
  <si>
    <t xml:space="preserve">Egipto (2H)</t>
  </si>
  <si>
    <t xml:space="preserve">Hard Rock, Miami</t>
  </si>
  <si>
    <t xml:space="preserve">M87</t>
  </si>
  <si>
    <t xml:space="preserve">Portugal (1K)</t>
  </si>
  <si>
    <t xml:space="preserve">Argelia (3º L)</t>
  </si>
  <si>
    <t xml:space="preserve">Arrowhead, Kansas City</t>
  </si>
  <si>
    <t xml:space="preserve">M88</t>
  </si>
  <si>
    <t xml:space="preserve">Marruecos (2D)</t>
  </si>
  <si>
    <t xml:space="preserve">Uruguay (2G)</t>
  </si>
  <si>
    <t xml:space="preserve">Probabilidades en eliminatorias — Montecarlo</t>
  </si>
  <si>
    <t xml:space="preserve">Clasifica</t>
  </si>
  <si>
    <t xml:space="preserve">Octavos</t>
  </si>
  <si>
    <t xml:space="preserve">Cuartos</t>
  </si>
  <si>
    <t xml:space="preserve">Semifinal</t>
  </si>
  <si>
    <t xml:space="preserve">Final</t>
  </si>
  <si>
    <t xml:space="preserve">Campeón</t>
  </si>
  <si>
    <t xml:space="preserve">Probabilidad de ser campeón (top 12)</t>
  </si>
  <si>
    <t xml:space="preserve">Proyección del cuadro — de octavos a la final (avanza el favorito del modelo)</t>
  </si>
  <si>
    <t xml:space="preserve"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</si>
  <si>
    <t xml:space="preserve">Octavos de final</t>
  </si>
  <si>
    <t xml:space="preserve">Equipo 1</t>
  </si>
  <si>
    <t xml:space="preserve">Equipo 2</t>
  </si>
  <si>
    <t xml:space="preserve">M89</t>
  </si>
  <si>
    <t xml:space="preserve">M90</t>
  </si>
  <si>
    <t xml:space="preserve">M91</t>
  </si>
  <si>
    <t xml:space="preserve">M92</t>
  </si>
  <si>
    <t xml:space="preserve">M93</t>
  </si>
  <si>
    <t xml:space="preserve">M94</t>
  </si>
  <si>
    <t xml:space="preserve">M95</t>
  </si>
  <si>
    <t xml:space="preserve">M96</t>
  </si>
  <si>
    <t xml:space="preserve">Cuartos de final</t>
  </si>
  <si>
    <t xml:space="preserve">M97</t>
  </si>
  <si>
    <t xml:space="preserve">M98</t>
  </si>
  <si>
    <t xml:space="preserve">M99</t>
  </si>
  <si>
    <t xml:space="preserve">M100</t>
  </si>
  <si>
    <t xml:space="preserve">Semifinales</t>
  </si>
  <si>
    <t xml:space="preserve">M101</t>
  </si>
  <si>
    <t xml:space="preserve">M102</t>
  </si>
  <si>
    <t xml:space="preserve">M104</t>
  </si>
  <si>
    <t xml:space="preserve">Tercer lugar</t>
  </si>
  <si>
    <t xml:space="preserve">—</t>
  </si>
  <si>
    <t xml:space="preserve">CAMPEÓN PROYECTADO: Argentina  (19% en la simulación)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</si>
</sst>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9C6500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3"/>
      <color rgb="FF0061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DEBF7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78787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Montecarlo'!$B$4:$B$7</c:f>
              <c:strCache>
                <c:ptCount val="4"/>
                <c:pt idx="0">
                  <c:v>México</c:v>
                </c:pt>
                <c:pt idx="1">
                  <c:v>Corea del Sur</c:v>
                </c:pt>
                <c:pt idx="2">
                  <c:v>República Checa</c:v>
                </c:pt>
                <c:pt idx="3">
                  <c:v>Sudáfrica</c:v>
                </c:pt>
              </c:strCache>
            </c:strRef>
          </c:cat>
          <c:val>
            <c:numRef>
              <c:f>'Avance Montecarlo'!$G$4:$G$7</c:f>
              <c:numCache>
                <c:formatCode>0%</c:formatCode>
                <c:ptCount val="4"/>
                <c:pt idx="0">
                  <c:v>0.993</c:v>
                </c:pt>
                <c:pt idx="1">
                  <c:v>0.938</c:v>
                </c:pt>
                <c:pt idx="2">
                  <c:v>0.431</c:v>
                </c:pt>
                <c:pt idx="3">
                  <c:v>0.308</c:v>
                </c:pt>
              </c:numCache>
            </c:numRef>
          </c:val>
        </c:ser>
        <c:gapWidth val="150"/>
        <c:overlap val="0"/>
        <c:axId val="62862476"/>
        <c:axId val="67442063"/>
      </c:barChart>
      <c:catAx>
        <c:axId val="628624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442063"/>
        <c:crosses val="autoZero"/>
        <c:auto val="1"/>
        <c:lblAlgn val="ctr"/>
        <c:lblOffset val="100"/>
        <c:noMultiLvlLbl val="0"/>
      </c:catAx>
      <c:valAx>
        <c:axId val="6744206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8624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Montecarlo'!$B$8:$B$11</c:f>
              <c:strCache>
                <c:ptCount val="4"/>
                <c:pt idx="0">
                  <c:v>Suiza</c:v>
                </c:pt>
                <c:pt idx="1">
                  <c:v>Canadá</c:v>
                </c:pt>
                <c:pt idx="2">
                  <c:v>Catar</c:v>
                </c:pt>
                <c:pt idx="3">
                  <c:v>Bosnia y Herzegovina</c:v>
                </c:pt>
              </c:strCache>
            </c:strRef>
          </c:cat>
          <c:val>
            <c:numRef>
              <c:f>'Avance Montecarlo'!$G$8:$G$11</c:f>
              <c:numCache>
                <c:formatCode>0%</c:formatCode>
                <c:ptCount val="4"/>
                <c:pt idx="0">
                  <c:v>0.823</c:v>
                </c:pt>
                <c:pt idx="1">
                  <c:v>0.761</c:v>
                </c:pt>
                <c:pt idx="2">
                  <c:v>0.577</c:v>
                </c:pt>
                <c:pt idx="3">
                  <c:v>0.499</c:v>
                </c:pt>
              </c:numCache>
            </c:numRef>
          </c:val>
        </c:ser>
        <c:gapWidth val="150"/>
        <c:overlap val="0"/>
        <c:axId val="41300946"/>
        <c:axId val="48528374"/>
      </c:barChart>
      <c:catAx>
        <c:axId val="413009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28374"/>
        <c:crosses val="autoZero"/>
        <c:auto val="1"/>
        <c:lblAlgn val="ctr"/>
        <c:lblOffset val="100"/>
        <c:noMultiLvlLbl val="0"/>
      </c:catAx>
      <c:valAx>
        <c:axId val="4852837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3009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Montecarlo'!$B$12:$B$15</c:f>
              <c:strCache>
                <c:ptCount val="4"/>
                <c:pt idx="0">
                  <c:v>Estados Unidos</c:v>
                </c:pt>
                <c:pt idx="1">
                  <c:v>Australia</c:v>
                </c:pt>
                <c:pt idx="2">
                  <c:v>Turquía</c:v>
                </c:pt>
                <c:pt idx="3">
                  <c:v>Paraguay</c:v>
                </c:pt>
              </c:strCache>
            </c:strRef>
          </c:cat>
          <c:val>
            <c:numRef>
              <c:f>'Avance Montecarlo'!$G$12:$G$15</c:f>
              <c:numCache>
                <c:formatCode>0%</c:formatCode>
                <c:ptCount val="4"/>
                <c:pt idx="0">
                  <c:v>0.993</c:v>
                </c:pt>
                <c:pt idx="1">
                  <c:v>0.949</c:v>
                </c:pt>
                <c:pt idx="2">
                  <c:v>0.465</c:v>
                </c:pt>
                <c:pt idx="3">
                  <c:v>0.288</c:v>
                </c:pt>
              </c:numCache>
            </c:numRef>
          </c:val>
        </c:ser>
        <c:gapWidth val="150"/>
        <c:overlap val="0"/>
        <c:axId val="6951239"/>
        <c:axId val="61967897"/>
      </c:barChart>
      <c:catAx>
        <c:axId val="6951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967897"/>
        <c:crosses val="autoZero"/>
        <c:auto val="1"/>
        <c:lblAlgn val="ctr"/>
        <c:lblOffset val="100"/>
        <c:noMultiLvlLbl val="0"/>
      </c:catAx>
      <c:valAx>
        <c:axId val="6196789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512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Montecarlo'!$B$16:$B$19</c:f>
              <c:strCache>
                <c:ptCount val="4"/>
                <c:pt idx="0">
                  <c:v>Brasil</c:v>
                </c:pt>
                <c:pt idx="1">
                  <c:v>Marruecos</c:v>
                </c:pt>
                <c:pt idx="2">
                  <c:v>Escocia</c:v>
                </c:pt>
                <c:pt idx="3">
                  <c:v>Haití</c:v>
                </c:pt>
              </c:strCache>
            </c:strRef>
          </c:cat>
          <c:val>
            <c:numRef>
              <c:f>'Avance Montecarlo'!$G$16:$G$19</c:f>
              <c:numCache>
                <c:formatCode>0%</c:formatCode>
                <c:ptCount val="4"/>
                <c:pt idx="0">
                  <c:v>0.96</c:v>
                </c:pt>
                <c:pt idx="1">
                  <c:v>0.959</c:v>
                </c:pt>
                <c:pt idx="2">
                  <c:v>0.759</c:v>
                </c:pt>
                <c:pt idx="3">
                  <c:v>0.056</c:v>
                </c:pt>
              </c:numCache>
            </c:numRef>
          </c:val>
        </c:ser>
        <c:gapWidth val="150"/>
        <c:overlap val="0"/>
        <c:axId val="57724364"/>
        <c:axId val="67579763"/>
      </c:barChart>
      <c:catAx>
        <c:axId val="577243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579763"/>
        <c:crosses val="autoZero"/>
        <c:auto val="1"/>
        <c:lblAlgn val="ctr"/>
        <c:lblOffset val="100"/>
        <c:noMultiLvlLbl val="0"/>
      </c:catAx>
      <c:valAx>
        <c:axId val="6757976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7243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Montecarlo'!$B$20:$B$23</c:f>
              <c:strCache>
                <c:ptCount val="4"/>
                <c:pt idx="0">
                  <c:v>Alemania</c:v>
                </c:pt>
                <c:pt idx="1">
                  <c:v>Costa de Marfil</c:v>
                </c:pt>
                <c:pt idx="2">
                  <c:v>Ecuador</c:v>
                </c:pt>
                <c:pt idx="3">
                  <c:v>Curazao</c:v>
                </c:pt>
              </c:strCache>
            </c:strRef>
          </c:cat>
          <c:val>
            <c:numRef>
              <c:f>'Avance Montecarlo'!$G$20:$G$23</c:f>
              <c:numCache>
                <c:formatCode>0%</c:formatCode>
                <c:ptCount val="4"/>
                <c:pt idx="0">
                  <c:v>0.997</c:v>
                </c:pt>
                <c:pt idx="1">
                  <c:v>0.946</c:v>
                </c:pt>
                <c:pt idx="2">
                  <c:v>0.632</c:v>
                </c:pt>
                <c:pt idx="3">
                  <c:v>0.13</c:v>
                </c:pt>
              </c:numCache>
            </c:numRef>
          </c:val>
        </c:ser>
        <c:gapWidth val="150"/>
        <c:overlap val="0"/>
        <c:axId val="5727989"/>
        <c:axId val="46801446"/>
      </c:barChart>
      <c:catAx>
        <c:axId val="57279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801446"/>
        <c:crosses val="autoZero"/>
        <c:auto val="1"/>
        <c:lblAlgn val="ctr"/>
        <c:lblOffset val="100"/>
        <c:noMultiLvlLbl val="0"/>
      </c:catAx>
      <c:valAx>
        <c:axId val="4680144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279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Montecarlo'!$B$24:$B$27</c:f>
              <c:strCache>
                <c:ptCount val="4"/>
                <c:pt idx="0">
                  <c:v>Suecia</c:v>
                </c:pt>
                <c:pt idx="1">
                  <c:v>Países Bajos</c:v>
                </c:pt>
                <c:pt idx="2">
                  <c:v>Japón</c:v>
                </c:pt>
                <c:pt idx="3">
                  <c:v>Túnez</c:v>
                </c:pt>
              </c:strCache>
            </c:strRef>
          </c:cat>
          <c:val>
            <c:numRef>
              <c:f>'Avance Montecarlo'!$G$24:$G$27</c:f>
              <c:numCache>
                <c:formatCode>0%</c:formatCode>
                <c:ptCount val="4"/>
                <c:pt idx="0">
                  <c:v>0.944</c:v>
                </c:pt>
                <c:pt idx="1">
                  <c:v>0.922</c:v>
                </c:pt>
                <c:pt idx="2">
                  <c:v>0.854</c:v>
                </c:pt>
                <c:pt idx="3">
                  <c:v>0.125</c:v>
                </c:pt>
              </c:numCache>
            </c:numRef>
          </c:val>
        </c:ser>
        <c:gapWidth val="150"/>
        <c:overlap val="0"/>
        <c:axId val="60947927"/>
        <c:axId val="2018651"/>
      </c:barChart>
      <c:catAx>
        <c:axId val="60947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18651"/>
        <c:crosses val="autoZero"/>
        <c:auto val="1"/>
        <c:lblAlgn val="ctr"/>
        <c:lblOffset val="100"/>
        <c:noMultiLvlLbl val="0"/>
      </c:catAx>
      <c:valAx>
        <c:axId val="201865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9479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Montecarlo'!$B$28:$B$31</c:f>
              <c:strCache>
                <c:ptCount val="4"/>
                <c:pt idx="0">
                  <c:v>España</c:v>
                </c:pt>
                <c:pt idx="1">
                  <c:v>Uruguay</c:v>
                </c:pt>
                <c:pt idx="2">
                  <c:v>Cabo Verde</c:v>
                </c:pt>
                <c:pt idx="3">
                  <c:v>Arabia Saudita</c:v>
                </c:pt>
              </c:strCache>
            </c:strRef>
          </c:cat>
          <c:val>
            <c:numRef>
              <c:f>'Avance Montecarlo'!$G$28:$G$31</c:f>
              <c:numCache>
                <c:formatCode>0%</c:formatCode>
                <c:ptCount val="4"/>
                <c:pt idx="0">
                  <c:v>0.962</c:v>
                </c:pt>
                <c:pt idx="1">
                  <c:v>0.765</c:v>
                </c:pt>
                <c:pt idx="2">
                  <c:v>0.488</c:v>
                </c:pt>
                <c:pt idx="3">
                  <c:v>0.446</c:v>
                </c:pt>
              </c:numCache>
            </c:numRef>
          </c:val>
        </c:ser>
        <c:gapWidth val="150"/>
        <c:overlap val="0"/>
        <c:axId val="32292965"/>
        <c:axId val="46350341"/>
      </c:barChart>
      <c:catAx>
        <c:axId val="322929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350341"/>
        <c:crosses val="autoZero"/>
        <c:auto val="1"/>
        <c:lblAlgn val="ctr"/>
        <c:lblOffset val="100"/>
        <c:noMultiLvlLbl val="0"/>
      </c:catAx>
      <c:valAx>
        <c:axId val="4635034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2929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Montecarlo'!$B$32:$B$35</c:f>
              <c:strCache>
                <c:ptCount val="4"/>
                <c:pt idx="0">
                  <c:v>Bélgica</c:v>
                </c:pt>
                <c:pt idx="1">
                  <c:v>Egipto</c:v>
                </c:pt>
                <c:pt idx="2">
                  <c:v>Irán</c:v>
                </c:pt>
                <c:pt idx="3">
                  <c:v>Nueva Zelanda</c:v>
                </c:pt>
              </c:strCache>
            </c:strRef>
          </c:cat>
          <c:val>
            <c:numRef>
              <c:f>'Avance Montecarlo'!$G$32:$G$35</c:f>
              <c:numCache>
                <c:formatCode>0%</c:formatCode>
                <c:ptCount val="4"/>
                <c:pt idx="0">
                  <c:v>0.922</c:v>
                </c:pt>
                <c:pt idx="1">
                  <c:v>0.764</c:v>
                </c:pt>
                <c:pt idx="2">
                  <c:v>0.658</c:v>
                </c:pt>
                <c:pt idx="3">
                  <c:v>0.268</c:v>
                </c:pt>
              </c:numCache>
            </c:numRef>
          </c:val>
        </c:ser>
        <c:gapWidth val="150"/>
        <c:overlap val="0"/>
        <c:axId val="74953132"/>
        <c:axId val="48438392"/>
      </c:barChart>
      <c:catAx>
        <c:axId val="749531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438392"/>
        <c:crosses val="autoZero"/>
        <c:auto val="1"/>
        <c:lblAlgn val="ctr"/>
        <c:lblOffset val="100"/>
        <c:noMultiLvlLbl val="0"/>
      </c:catAx>
      <c:valAx>
        <c:axId val="4843839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9531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Montecarlo'!$B$36:$B$39</c:f>
              <c:strCache>
                <c:ptCount val="4"/>
                <c:pt idx="0">
                  <c:v>Francia</c:v>
                </c:pt>
                <c:pt idx="1">
                  <c:v>Senegal</c:v>
                </c:pt>
                <c:pt idx="2">
                  <c:v>Noruega</c:v>
                </c:pt>
                <c:pt idx="3">
                  <c:v>Irak</c:v>
                </c:pt>
              </c:strCache>
            </c:strRef>
          </c:cat>
          <c:val>
            <c:numRef>
              <c:f>'Avance Montecarlo'!$G$36:$G$39</c:f>
              <c:numCache>
                <c:formatCode>0%</c:formatCode>
                <c:ptCount val="4"/>
                <c:pt idx="0">
                  <c:v>0.998</c:v>
                </c:pt>
                <c:pt idx="1">
                  <c:v>0.751</c:v>
                </c:pt>
                <c:pt idx="2">
                  <c:v>0.551</c:v>
                </c:pt>
                <c:pt idx="3">
                  <c:v>0.292</c:v>
                </c:pt>
              </c:numCache>
            </c:numRef>
          </c:val>
        </c:ser>
        <c:gapWidth val="150"/>
        <c:overlap val="0"/>
        <c:axId val="913430"/>
        <c:axId val="14114505"/>
      </c:barChart>
      <c:catAx>
        <c:axId val="9134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114505"/>
        <c:crosses val="autoZero"/>
        <c:auto val="1"/>
        <c:lblAlgn val="ctr"/>
        <c:lblOffset val="100"/>
        <c:noMultiLvlLbl val="0"/>
      </c:catAx>
      <c:valAx>
        <c:axId val="1411450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343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J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Montecarlo'!$B$40:$B$43</c:f>
              <c:strCache>
                <c:ptCount val="4"/>
                <c:pt idx="0">
                  <c:v>Inglaterra</c:v>
                </c:pt>
                <c:pt idx="1">
                  <c:v>Croacia</c:v>
                </c:pt>
                <c:pt idx="2">
                  <c:v>Panamá</c:v>
                </c:pt>
                <c:pt idx="3">
                  <c:v>Ghana</c:v>
                </c:pt>
              </c:strCache>
            </c:strRef>
          </c:cat>
          <c:val>
            <c:numRef>
              <c:f>'Avance Montecarlo'!$G$40:$G$43</c:f>
              <c:numCache>
                <c:formatCode>0%</c:formatCode>
                <c:ptCount val="4"/>
                <c:pt idx="0">
                  <c:v>0.969</c:v>
                </c:pt>
                <c:pt idx="1">
                  <c:v>0.893</c:v>
                </c:pt>
                <c:pt idx="2">
                  <c:v>0.554</c:v>
                </c:pt>
                <c:pt idx="3">
                  <c:v>0.222</c:v>
                </c:pt>
              </c:numCache>
            </c:numRef>
          </c:val>
        </c:ser>
        <c:gapWidth val="150"/>
        <c:overlap val="0"/>
        <c:axId val="90761700"/>
        <c:axId val="15894947"/>
      </c:barChart>
      <c:catAx>
        <c:axId val="907617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894947"/>
        <c:crosses val="autoZero"/>
        <c:auto val="1"/>
        <c:lblAlgn val="ctr"/>
        <c:lblOffset val="100"/>
        <c:noMultiLvlLbl val="0"/>
      </c:catAx>
      <c:valAx>
        <c:axId val="1589494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6170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Montecarlo'!$B$44:$B$47</c:f>
              <c:strCache>
                <c:ptCount val="4"/>
                <c:pt idx="0">
                  <c:v>Portugal</c:v>
                </c:pt>
                <c:pt idx="1">
                  <c:v>Colombia</c:v>
                </c:pt>
                <c:pt idx="2">
                  <c:v>RD Congo</c:v>
                </c:pt>
                <c:pt idx="3">
                  <c:v>Uzbekistán</c:v>
                </c:pt>
              </c:strCache>
            </c:strRef>
          </c:cat>
          <c:val>
            <c:numRef>
              <c:f>'Avance Montecarlo'!$G$44:$G$47</c:f>
              <c:numCache>
                <c:formatCode>0%</c:formatCode>
                <c:ptCount val="4"/>
                <c:pt idx="0">
                  <c:v>0.94</c:v>
                </c:pt>
                <c:pt idx="1">
                  <c:v>0.876</c:v>
                </c:pt>
                <c:pt idx="2">
                  <c:v>0.435</c:v>
                </c:pt>
                <c:pt idx="3">
                  <c:v>0.404</c:v>
                </c:pt>
              </c:numCache>
            </c:numRef>
          </c:val>
        </c:ser>
        <c:gapWidth val="150"/>
        <c:overlap val="0"/>
        <c:axId val="48350714"/>
        <c:axId val="97781385"/>
      </c:barChart>
      <c:catAx>
        <c:axId val="483507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781385"/>
        <c:crosses val="autoZero"/>
        <c:auto val="1"/>
        <c:lblAlgn val="ctr"/>
        <c:lblOffset val="100"/>
        <c:noMultiLvlLbl val="0"/>
      </c:catAx>
      <c:valAx>
        <c:axId val="9778138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3507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Montecarlo'!$B$48:$B$51</c:f>
              <c:strCache>
                <c:ptCount val="4"/>
                <c:pt idx="0">
                  <c:v>Argentina</c:v>
                </c:pt>
                <c:pt idx="1">
                  <c:v>Austria</c:v>
                </c:pt>
                <c:pt idx="2">
                  <c:v>Argelia</c:v>
                </c:pt>
                <c:pt idx="3">
                  <c:v>Jordania</c:v>
                </c:pt>
              </c:strCache>
            </c:strRef>
          </c:cat>
          <c:val>
            <c:numRef>
              <c:f>'Avance Montecarlo'!$G$48:$G$51</c:f>
              <c:numCache>
                <c:formatCode>0%</c:formatCode>
                <c:ptCount val="4"/>
                <c:pt idx="0">
                  <c:v>0.999</c:v>
                </c:pt>
                <c:pt idx="1">
                  <c:v>0.703</c:v>
                </c:pt>
                <c:pt idx="2">
                  <c:v>0.524</c:v>
                </c:pt>
                <c:pt idx="3">
                  <c:v>0.304</c:v>
                </c:pt>
              </c:numCache>
            </c:numRef>
          </c:val>
        </c:ser>
        <c:gapWidth val="150"/>
        <c:overlap val="0"/>
        <c:axId val="90890085"/>
        <c:axId val="16663419"/>
      </c:barChart>
      <c:catAx>
        <c:axId val="908900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663419"/>
        <c:crosses val="autoZero"/>
        <c:auto val="1"/>
        <c:lblAlgn val="ctr"/>
        <c:lblOffset val="100"/>
        <c:noMultiLvlLbl val="0"/>
      </c:catAx>
      <c:valAx>
        <c:axId val="1666341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89008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Probabilidad de campeón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Favoritos!$A$4:$A$15</c:f>
              <c:strCache>
                <c:ptCount val="12"/>
                <c:pt idx="0">
                  <c:v>Francia</c:v>
                </c:pt>
                <c:pt idx="1">
                  <c:v>Argentina</c:v>
                </c:pt>
                <c:pt idx="2">
                  <c:v>España</c:v>
                </c:pt>
                <c:pt idx="3">
                  <c:v>Inglaterra</c:v>
                </c:pt>
                <c:pt idx="4">
                  <c:v>Portugal</c:v>
                </c:pt>
                <c:pt idx="5">
                  <c:v>Brasil</c:v>
                </c:pt>
                <c:pt idx="6">
                  <c:v>Marruecos</c:v>
                </c:pt>
                <c:pt idx="7">
                  <c:v>México</c:v>
                </c:pt>
                <c:pt idx="8">
                  <c:v>Países Bajos</c:v>
                </c:pt>
                <c:pt idx="9">
                  <c:v>Estados Unidos</c:v>
                </c:pt>
                <c:pt idx="10">
                  <c:v>Alemania</c:v>
                </c:pt>
                <c:pt idx="11">
                  <c:v>Bélgica</c:v>
                </c:pt>
              </c:strCache>
            </c:strRef>
          </c:cat>
          <c:val>
            <c:numRef>
              <c:f>Favoritos!$B$4:$B$15</c:f>
              <c:numCache>
                <c:formatCode>0%</c:formatCode>
                <c:ptCount val="12"/>
                <c:pt idx="0">
                  <c:v>0.2</c:v>
                </c:pt>
                <c:pt idx="1">
                  <c:v>0.187</c:v>
                </c:pt>
                <c:pt idx="2">
                  <c:v>0.154</c:v>
                </c:pt>
                <c:pt idx="3">
                  <c:v>0.096</c:v>
                </c:pt>
                <c:pt idx="4">
                  <c:v>0.044</c:v>
                </c:pt>
                <c:pt idx="5">
                  <c:v>0.043</c:v>
                </c:pt>
                <c:pt idx="6">
                  <c:v>0.039</c:v>
                </c:pt>
                <c:pt idx="7">
                  <c:v>0.036</c:v>
                </c:pt>
                <c:pt idx="8">
                  <c:v>0.035</c:v>
                </c:pt>
                <c:pt idx="9">
                  <c:v>0.028</c:v>
                </c:pt>
                <c:pt idx="10">
                  <c:v>0.028</c:v>
                </c:pt>
                <c:pt idx="11">
                  <c:v>0.024</c:v>
                </c:pt>
              </c:numCache>
            </c:numRef>
          </c:val>
        </c:ser>
        <c:gapWidth val="150"/>
        <c:overlap val="0"/>
        <c:axId val="38588298"/>
        <c:axId val="66101693"/>
      </c:barChart>
      <c:catAx>
        <c:axId val="38588298"/>
        <c:scaling>
          <c:orientation val="minMax"/>
        </c:scaling>
        <c:delete val="0"/>
        <c:axPos val="b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101693"/>
        <c:crosses val="autoZero"/>
        <c:auto val="1"/>
        <c:lblAlgn val="ctr"/>
        <c:lblOffset val="100"/>
        <c:noMultiLvlLbl val="0"/>
      </c:catAx>
      <c:valAx>
        <c:axId val="661016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5882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160560</xdr:rowOff>
    </xdr:from>
    <xdr:to>
      <xdr:col>6</xdr:col>
      <xdr:colOff>542160</xdr:colOff>
      <xdr:row>13</xdr:row>
      <xdr:rowOff>106200</xdr:rowOff>
    </xdr:to>
    <xdr:graphicFrame>
      <xdr:nvGraphicFramePr>
        <xdr:cNvPr id="0" name="Chart 1"/>
        <xdr:cNvGraphicFramePr/>
      </xdr:nvGraphicFramePr>
      <xdr:xfrm>
        <a:off x="61164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</xdr:row>
      <xdr:rowOff>160560</xdr:rowOff>
    </xdr:from>
    <xdr:to>
      <xdr:col>16</xdr:col>
      <xdr:colOff>542160</xdr:colOff>
      <xdr:row>13</xdr:row>
      <xdr:rowOff>106200</xdr:rowOff>
    </xdr:to>
    <xdr:graphicFrame>
      <xdr:nvGraphicFramePr>
        <xdr:cNvPr id="1" name="Chart 2"/>
        <xdr:cNvGraphicFramePr/>
      </xdr:nvGraphicFramePr>
      <xdr:xfrm>
        <a:off x="672660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14</xdr:row>
      <xdr:rowOff>160920</xdr:rowOff>
    </xdr:from>
    <xdr:to>
      <xdr:col>6</xdr:col>
      <xdr:colOff>542160</xdr:colOff>
      <xdr:row>26</xdr:row>
      <xdr:rowOff>106560</xdr:rowOff>
    </xdr:to>
    <xdr:graphicFrame>
      <xdr:nvGraphicFramePr>
        <xdr:cNvPr id="2" name="Chart 3"/>
        <xdr:cNvGraphicFramePr/>
      </xdr:nvGraphicFramePr>
      <xdr:xfrm>
        <a:off x="61164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14</xdr:row>
      <xdr:rowOff>160920</xdr:rowOff>
    </xdr:from>
    <xdr:to>
      <xdr:col>16</xdr:col>
      <xdr:colOff>542160</xdr:colOff>
      <xdr:row>26</xdr:row>
      <xdr:rowOff>106560</xdr:rowOff>
    </xdr:to>
    <xdr:graphicFrame>
      <xdr:nvGraphicFramePr>
        <xdr:cNvPr id="3" name="Chart 4"/>
        <xdr:cNvGraphicFramePr/>
      </xdr:nvGraphicFramePr>
      <xdr:xfrm>
        <a:off x="672660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27</xdr:row>
      <xdr:rowOff>160920</xdr:rowOff>
    </xdr:from>
    <xdr:to>
      <xdr:col>6</xdr:col>
      <xdr:colOff>542160</xdr:colOff>
      <xdr:row>39</xdr:row>
      <xdr:rowOff>106560</xdr:rowOff>
    </xdr:to>
    <xdr:graphicFrame>
      <xdr:nvGraphicFramePr>
        <xdr:cNvPr id="4" name="Chart 5"/>
        <xdr:cNvGraphicFramePr/>
      </xdr:nvGraphicFramePr>
      <xdr:xfrm>
        <a:off x="61164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0</xdr:colOff>
      <xdr:row>27</xdr:row>
      <xdr:rowOff>160920</xdr:rowOff>
    </xdr:from>
    <xdr:to>
      <xdr:col>16</xdr:col>
      <xdr:colOff>542160</xdr:colOff>
      <xdr:row>39</xdr:row>
      <xdr:rowOff>106560</xdr:rowOff>
    </xdr:to>
    <xdr:graphicFrame>
      <xdr:nvGraphicFramePr>
        <xdr:cNvPr id="5" name="Chart 6"/>
        <xdr:cNvGraphicFramePr/>
      </xdr:nvGraphicFramePr>
      <xdr:xfrm>
        <a:off x="672660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40</xdr:row>
      <xdr:rowOff>160560</xdr:rowOff>
    </xdr:from>
    <xdr:to>
      <xdr:col>6</xdr:col>
      <xdr:colOff>542160</xdr:colOff>
      <xdr:row>52</xdr:row>
      <xdr:rowOff>106200</xdr:rowOff>
    </xdr:to>
    <xdr:graphicFrame>
      <xdr:nvGraphicFramePr>
        <xdr:cNvPr id="6" name="Chart 7"/>
        <xdr:cNvGraphicFramePr/>
      </xdr:nvGraphicFramePr>
      <xdr:xfrm>
        <a:off x="61164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11</xdr:col>
      <xdr:colOff>0</xdr:colOff>
      <xdr:row>40</xdr:row>
      <xdr:rowOff>160560</xdr:rowOff>
    </xdr:from>
    <xdr:to>
      <xdr:col>16</xdr:col>
      <xdr:colOff>542160</xdr:colOff>
      <xdr:row>52</xdr:row>
      <xdr:rowOff>106200</xdr:rowOff>
    </xdr:to>
    <xdr:graphicFrame>
      <xdr:nvGraphicFramePr>
        <xdr:cNvPr id="7" name="Chart 8"/>
        <xdr:cNvGraphicFramePr/>
      </xdr:nvGraphicFramePr>
      <xdr:xfrm>
        <a:off x="672660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0</xdr:colOff>
      <xdr:row>53</xdr:row>
      <xdr:rowOff>160560</xdr:rowOff>
    </xdr:from>
    <xdr:to>
      <xdr:col>6</xdr:col>
      <xdr:colOff>542160</xdr:colOff>
      <xdr:row>65</xdr:row>
      <xdr:rowOff>106200</xdr:rowOff>
    </xdr:to>
    <xdr:graphicFrame>
      <xdr:nvGraphicFramePr>
        <xdr:cNvPr id="8" name="Chart 9"/>
        <xdr:cNvGraphicFramePr/>
      </xdr:nvGraphicFramePr>
      <xdr:xfrm>
        <a:off x="61164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11</xdr:col>
      <xdr:colOff>0</xdr:colOff>
      <xdr:row>53</xdr:row>
      <xdr:rowOff>160560</xdr:rowOff>
    </xdr:from>
    <xdr:to>
      <xdr:col>16</xdr:col>
      <xdr:colOff>542160</xdr:colOff>
      <xdr:row>65</xdr:row>
      <xdr:rowOff>106200</xdr:rowOff>
    </xdr:to>
    <xdr:graphicFrame>
      <xdr:nvGraphicFramePr>
        <xdr:cNvPr id="9" name="Chart 10"/>
        <xdr:cNvGraphicFramePr/>
      </xdr:nvGraphicFramePr>
      <xdr:xfrm>
        <a:off x="672660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</xdr:col>
      <xdr:colOff>0</xdr:colOff>
      <xdr:row>66</xdr:row>
      <xdr:rowOff>160560</xdr:rowOff>
    </xdr:from>
    <xdr:to>
      <xdr:col>6</xdr:col>
      <xdr:colOff>542160</xdr:colOff>
      <xdr:row>78</xdr:row>
      <xdr:rowOff>106200</xdr:rowOff>
    </xdr:to>
    <xdr:graphicFrame>
      <xdr:nvGraphicFramePr>
        <xdr:cNvPr id="10" name="Chart 11"/>
        <xdr:cNvGraphicFramePr/>
      </xdr:nvGraphicFramePr>
      <xdr:xfrm>
        <a:off x="61164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11</xdr:col>
      <xdr:colOff>0</xdr:colOff>
      <xdr:row>66</xdr:row>
      <xdr:rowOff>160560</xdr:rowOff>
    </xdr:from>
    <xdr:to>
      <xdr:col>16</xdr:col>
      <xdr:colOff>542160</xdr:colOff>
      <xdr:row>78</xdr:row>
      <xdr:rowOff>106200</xdr:rowOff>
    </xdr:to>
    <xdr:graphicFrame>
      <xdr:nvGraphicFramePr>
        <xdr:cNvPr id="11" name="Chart 12"/>
        <xdr:cNvGraphicFramePr/>
      </xdr:nvGraphicFramePr>
      <xdr:xfrm>
        <a:off x="672660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160560</xdr:rowOff>
    </xdr:from>
    <xdr:to>
      <xdr:col>12</xdr:col>
      <xdr:colOff>256320</xdr:colOff>
      <xdr:row>18</xdr:row>
      <xdr:rowOff>161640</xdr:rowOff>
    </xdr:to>
    <xdr:graphicFrame>
      <xdr:nvGraphicFramePr>
        <xdr:cNvPr id="12" name="Chart 1"/>
        <xdr:cNvGraphicFramePr/>
      </xdr:nvGraphicFramePr>
      <xdr:xfrm>
        <a:off x="2585160" y="3808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2</v>
      </c>
      <c r="B5" s="4"/>
    </row>
    <row r="6" customFormat="false" ht="15" hidden="false" customHeight="false" outlineLevel="0" collapsed="false">
      <c r="A6" s="3" t="s">
        <v>3</v>
      </c>
      <c r="B6" s="4" t="s">
        <v>4</v>
      </c>
    </row>
    <row r="7" customFormat="false" ht="15" hidden="false" customHeight="false" outlineLevel="0" collapsed="false">
      <c r="A7" s="3" t="s">
        <v>5</v>
      </c>
      <c r="B7" s="4" t="s">
        <v>6</v>
      </c>
    </row>
    <row r="8" customFormat="false" ht="15" hidden="false" customHeight="false" outlineLevel="0" collapsed="false">
      <c r="A8" s="3" t="s">
        <v>7</v>
      </c>
      <c r="B8" s="4" t="s">
        <v>8</v>
      </c>
    </row>
    <row r="9" customFormat="false" ht="15" hidden="false" customHeight="false" outlineLevel="0" collapsed="false">
      <c r="A9" s="3" t="s">
        <v>9</v>
      </c>
      <c r="B9" s="4" t="s">
        <v>10</v>
      </c>
    </row>
    <row r="10" customFormat="false" ht="15" hidden="false" customHeight="false" outlineLevel="0" collapsed="false">
      <c r="A10" s="3" t="s">
        <v>11</v>
      </c>
      <c r="B10" s="4" t="s">
        <v>12</v>
      </c>
    </row>
    <row r="11" customFormat="false" ht="15" hidden="false" customHeight="false" outlineLevel="0" collapsed="false">
      <c r="A11" s="3" t="s">
        <v>13</v>
      </c>
      <c r="B11" s="4" t="s">
        <v>14</v>
      </c>
    </row>
    <row r="12" customFormat="false" ht="15" hidden="false" customHeight="false" outlineLevel="0" collapsed="false">
      <c r="A12" s="3"/>
      <c r="B12" s="4"/>
    </row>
    <row r="13" customFormat="false" ht="15" hidden="false" customHeight="false" outlineLevel="0" collapsed="false">
      <c r="A13" s="5" t="s">
        <v>15</v>
      </c>
      <c r="B13" s="4"/>
    </row>
    <row r="14" customFormat="false" ht="15" hidden="false" customHeight="false" outlineLevel="0" collapsed="false">
      <c r="A14" s="3" t="s">
        <v>16</v>
      </c>
      <c r="B14" s="4" t="s">
        <v>17</v>
      </c>
    </row>
    <row r="15" customFormat="false" ht="15" hidden="false" customHeight="false" outlineLevel="0" collapsed="false">
      <c r="A15" s="3" t="s">
        <v>18</v>
      </c>
      <c r="B15" s="4" t="s">
        <v>19</v>
      </c>
    </row>
    <row r="16" customFormat="false" ht="15" hidden="false" customHeight="false" outlineLevel="0" collapsed="false">
      <c r="A16" s="3" t="s">
        <v>20</v>
      </c>
      <c r="B16" s="4" t="s">
        <v>21</v>
      </c>
    </row>
    <row r="17" customFormat="false" ht="15" hidden="false" customHeight="false" outlineLevel="0" collapsed="false">
      <c r="A17" s="3" t="s">
        <v>22</v>
      </c>
      <c r="B17" s="4" t="s">
        <v>23</v>
      </c>
    </row>
    <row r="18" customFormat="false" ht="15" hidden="false" customHeight="false" outlineLevel="0" collapsed="false">
      <c r="A18" s="3"/>
      <c r="B18" s="4"/>
    </row>
    <row r="19" customFormat="false" ht="23.85" hidden="false" customHeight="false" outlineLevel="0" collapsed="false">
      <c r="A19" s="5" t="s">
        <v>24</v>
      </c>
      <c r="B19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22"/>
    <col collapsed="false" customWidth="true" hidden="false" outlineLevel="0" max="15" min="15" style="0" width="20"/>
    <col collapsed="false" customWidth="true" hidden="false" outlineLevel="0" max="16" min="16" style="0" width="12"/>
  </cols>
  <sheetData>
    <row r="1" customFormat="false" ht="17.35" hidden="false" customHeight="false" outlineLevel="0" collapsed="false">
      <c r="A1" s="6" t="s">
        <v>26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3" customFormat="false" ht="15" hidden="false" customHeight="false" outlineLevel="0" collapsed="false">
      <c r="A3" s="7" t="s">
        <v>27</v>
      </c>
      <c r="B3" s="7" t="s">
        <v>28</v>
      </c>
      <c r="C3" s="7" t="s">
        <v>29</v>
      </c>
      <c r="D3" s="7" t="s">
        <v>30</v>
      </c>
      <c r="E3" s="7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J3" s="7" t="s">
        <v>36</v>
      </c>
      <c r="K3" s="7" t="s">
        <v>37</v>
      </c>
      <c r="L3" s="7" t="s">
        <v>38</v>
      </c>
      <c r="M3" s="7" t="s">
        <v>39</v>
      </c>
      <c r="N3" s="7" t="s">
        <v>40</v>
      </c>
      <c r="O3" s="7" t="s">
        <v>41</v>
      </c>
      <c r="P3" s="7" t="s">
        <v>42</v>
      </c>
    </row>
    <row r="4" customFormat="false" ht="15" hidden="false" customHeight="false" outlineLevel="0" collapsed="false">
      <c r="A4" s="8" t="s">
        <v>43</v>
      </c>
      <c r="B4" s="8" t="s">
        <v>44</v>
      </c>
      <c r="C4" s="8" t="s">
        <v>45</v>
      </c>
      <c r="D4" s="9" t="s">
        <v>46</v>
      </c>
      <c r="E4" s="10" t="s">
        <v>47</v>
      </c>
      <c r="F4" s="8" t="n">
        <v>14</v>
      </c>
      <c r="G4" s="9" t="s">
        <v>48</v>
      </c>
      <c r="H4" s="8" t="n">
        <v>60</v>
      </c>
      <c r="I4" s="8" t="n">
        <f aca="false">ABS(F4-H4)</f>
        <v>46</v>
      </c>
      <c r="J4" s="11" t="n">
        <v>0.711</v>
      </c>
      <c r="K4" s="11" t="n">
        <v>0.192</v>
      </c>
      <c r="L4" s="11" t="n">
        <v>0.097</v>
      </c>
      <c r="M4" s="8" t="s">
        <v>49</v>
      </c>
      <c r="N4" s="10" t="s">
        <v>50</v>
      </c>
      <c r="O4" s="12" t="s">
        <v>47</v>
      </c>
      <c r="P4" s="13" t="s">
        <v>51</v>
      </c>
    </row>
    <row r="5" customFormat="false" ht="15" hidden="false" customHeight="false" outlineLevel="0" collapsed="false">
      <c r="A5" s="8" t="s">
        <v>43</v>
      </c>
      <c r="B5" s="8" t="s">
        <v>44</v>
      </c>
      <c r="C5" s="8" t="s">
        <v>52</v>
      </c>
      <c r="D5" s="9" t="s">
        <v>53</v>
      </c>
      <c r="E5" s="10" t="s">
        <v>54</v>
      </c>
      <c r="F5" s="8" t="n">
        <v>25</v>
      </c>
      <c r="G5" s="9" t="s">
        <v>55</v>
      </c>
      <c r="H5" s="8" t="n">
        <v>40</v>
      </c>
      <c r="I5" s="8" t="n">
        <f aca="false">ABS(F5-H5)</f>
        <v>15</v>
      </c>
      <c r="J5" s="11" t="n">
        <v>0.46</v>
      </c>
      <c r="K5" s="11" t="n">
        <v>0.258</v>
      </c>
      <c r="L5" s="11" t="n">
        <v>0.282</v>
      </c>
      <c r="M5" s="8" t="s">
        <v>56</v>
      </c>
      <c r="N5" s="10" t="s">
        <v>57</v>
      </c>
      <c r="O5" s="12" t="s">
        <v>54</v>
      </c>
      <c r="P5" s="13" t="s">
        <v>51</v>
      </c>
    </row>
    <row r="6" customFormat="false" ht="15" hidden="false" customHeight="false" outlineLevel="0" collapsed="false">
      <c r="A6" s="8" t="s">
        <v>43</v>
      </c>
      <c r="B6" s="8" t="s">
        <v>58</v>
      </c>
      <c r="C6" s="8" t="s">
        <v>59</v>
      </c>
      <c r="D6" s="9" t="s">
        <v>60</v>
      </c>
      <c r="E6" s="10" t="s">
        <v>55</v>
      </c>
      <c r="F6" s="8" t="n">
        <v>40</v>
      </c>
      <c r="G6" s="9" t="s">
        <v>48</v>
      </c>
      <c r="H6" s="8" t="n">
        <v>60</v>
      </c>
      <c r="I6" s="8" t="n">
        <f aca="false">ABS(F6-H6)</f>
        <v>20</v>
      </c>
      <c r="J6" s="11" t="n">
        <v>0.441</v>
      </c>
      <c r="K6" s="11" t="n">
        <v>0.26</v>
      </c>
      <c r="L6" s="11" t="n">
        <v>0.299</v>
      </c>
      <c r="M6" s="8" t="s">
        <v>61</v>
      </c>
      <c r="N6" s="10" t="s">
        <v>62</v>
      </c>
      <c r="O6" s="12" t="s">
        <v>55</v>
      </c>
      <c r="P6" s="8" t="s">
        <v>63</v>
      </c>
    </row>
    <row r="7" customFormat="false" ht="15" hidden="false" customHeight="false" outlineLevel="0" collapsed="false">
      <c r="A7" s="8" t="s">
        <v>43</v>
      </c>
      <c r="B7" s="8" t="s">
        <v>58</v>
      </c>
      <c r="C7" s="8" t="s">
        <v>64</v>
      </c>
      <c r="D7" s="9" t="s">
        <v>53</v>
      </c>
      <c r="E7" s="10" t="s">
        <v>47</v>
      </c>
      <c r="F7" s="8" t="n">
        <v>14</v>
      </c>
      <c r="G7" s="9" t="s">
        <v>54</v>
      </c>
      <c r="H7" s="8" t="n">
        <v>25</v>
      </c>
      <c r="I7" s="8" t="n">
        <f aca="false">ABS(F7-H7)</f>
        <v>11</v>
      </c>
      <c r="J7" s="11" t="n">
        <v>0.548</v>
      </c>
      <c r="K7" s="11" t="n">
        <v>0.243</v>
      </c>
      <c r="L7" s="11" t="n">
        <v>0.209</v>
      </c>
      <c r="M7" s="8" t="s">
        <v>65</v>
      </c>
      <c r="N7" s="10" t="s">
        <v>66</v>
      </c>
      <c r="O7" s="12" t="s">
        <v>47</v>
      </c>
      <c r="P7" s="8" t="s">
        <v>63</v>
      </c>
    </row>
    <row r="8" customFormat="false" ht="15" hidden="false" customHeight="false" outlineLevel="0" collapsed="false">
      <c r="A8" s="8" t="s">
        <v>43</v>
      </c>
      <c r="B8" s="8" t="s">
        <v>67</v>
      </c>
      <c r="C8" s="8" t="s">
        <v>64</v>
      </c>
      <c r="D8" s="9" t="s">
        <v>46</v>
      </c>
      <c r="E8" s="9" t="s">
        <v>55</v>
      </c>
      <c r="F8" s="8" t="n">
        <v>40</v>
      </c>
      <c r="G8" s="10" t="s">
        <v>47</v>
      </c>
      <c r="H8" s="8" t="n">
        <v>14</v>
      </c>
      <c r="I8" s="8" t="n">
        <f aca="false">ABS(F8-H8)</f>
        <v>26</v>
      </c>
      <c r="J8" s="11" t="n">
        <v>0.142</v>
      </c>
      <c r="K8" s="11" t="n">
        <v>0.217</v>
      </c>
      <c r="L8" s="11" t="n">
        <v>0.641</v>
      </c>
      <c r="M8" s="8" t="s">
        <v>68</v>
      </c>
      <c r="N8" s="10" t="s">
        <v>66</v>
      </c>
      <c r="O8" s="12" t="s">
        <v>47</v>
      </c>
      <c r="P8" s="8" t="s">
        <v>63</v>
      </c>
    </row>
    <row r="9" customFormat="false" ht="15" hidden="false" customHeight="false" outlineLevel="0" collapsed="false">
      <c r="A9" s="8" t="s">
        <v>43</v>
      </c>
      <c r="B9" s="8" t="s">
        <v>67</v>
      </c>
      <c r="C9" s="8" t="s">
        <v>64</v>
      </c>
      <c r="D9" s="9" t="s">
        <v>69</v>
      </c>
      <c r="E9" s="9" t="s">
        <v>48</v>
      </c>
      <c r="F9" s="8" t="n">
        <v>60</v>
      </c>
      <c r="G9" s="10" t="s">
        <v>54</v>
      </c>
      <c r="H9" s="8" t="n">
        <v>25</v>
      </c>
      <c r="I9" s="8" t="n">
        <f aca="false">ABS(F9-H9)</f>
        <v>35</v>
      </c>
      <c r="J9" s="11" t="n">
        <v>0.219</v>
      </c>
      <c r="K9" s="11" t="n">
        <v>0.246</v>
      </c>
      <c r="L9" s="11" t="n">
        <v>0.535</v>
      </c>
      <c r="M9" s="8" t="s">
        <v>68</v>
      </c>
      <c r="N9" s="10" t="s">
        <v>70</v>
      </c>
      <c r="O9" s="12" t="s">
        <v>54</v>
      </c>
      <c r="P9" s="8" t="s">
        <v>63</v>
      </c>
    </row>
    <row r="10" customFormat="false" ht="15" hidden="false" customHeight="false" outlineLevel="0" collapsed="false">
      <c r="A10" s="8" t="s">
        <v>71</v>
      </c>
      <c r="B10" s="8" t="s">
        <v>72</v>
      </c>
      <c r="C10" s="8" t="s">
        <v>45</v>
      </c>
      <c r="D10" s="9" t="s">
        <v>73</v>
      </c>
      <c r="E10" s="9" t="s">
        <v>74</v>
      </c>
      <c r="F10" s="8" t="n">
        <v>30</v>
      </c>
      <c r="G10" s="9" t="s">
        <v>75</v>
      </c>
      <c r="H10" s="8" t="n">
        <v>64</v>
      </c>
      <c r="I10" s="8" t="n">
        <f aca="false">ABS(F10-H10)</f>
        <v>34</v>
      </c>
      <c r="J10" s="11" t="n">
        <v>0.58</v>
      </c>
      <c r="K10" s="11" t="n">
        <v>0.235</v>
      </c>
      <c r="L10" s="11" t="n">
        <v>0.185</v>
      </c>
      <c r="M10" s="14" t="s">
        <v>61</v>
      </c>
      <c r="N10" s="15" t="s">
        <v>76</v>
      </c>
      <c r="O10" s="14" t="s">
        <v>76</v>
      </c>
      <c r="P10" s="13" t="s">
        <v>51</v>
      </c>
    </row>
    <row r="11" customFormat="false" ht="15" hidden="false" customHeight="false" outlineLevel="0" collapsed="false">
      <c r="A11" s="8" t="s">
        <v>71</v>
      </c>
      <c r="B11" s="8" t="s">
        <v>77</v>
      </c>
      <c r="C11" s="8" t="s">
        <v>45</v>
      </c>
      <c r="D11" s="9" t="s">
        <v>78</v>
      </c>
      <c r="E11" s="9" t="s">
        <v>79</v>
      </c>
      <c r="F11" s="8" t="n">
        <v>56</v>
      </c>
      <c r="G11" s="9" t="s">
        <v>80</v>
      </c>
      <c r="H11" s="8" t="n">
        <v>19</v>
      </c>
      <c r="I11" s="8" t="n">
        <f aca="false">ABS(F11-H11)</f>
        <v>37</v>
      </c>
      <c r="J11" s="11" t="n">
        <v>0.177</v>
      </c>
      <c r="K11" s="11" t="n">
        <v>0.232</v>
      </c>
      <c r="L11" s="11" t="n">
        <v>0.59</v>
      </c>
      <c r="M11" s="14" t="s">
        <v>61</v>
      </c>
      <c r="N11" s="15" t="s">
        <v>76</v>
      </c>
      <c r="O11" s="14" t="s">
        <v>76</v>
      </c>
      <c r="P11" s="13" t="s">
        <v>51</v>
      </c>
    </row>
    <row r="12" customFormat="false" ht="15" hidden="false" customHeight="false" outlineLevel="0" collapsed="false">
      <c r="A12" s="8" t="s">
        <v>71</v>
      </c>
      <c r="B12" s="8" t="s">
        <v>58</v>
      </c>
      <c r="C12" s="8" t="s">
        <v>45</v>
      </c>
      <c r="D12" s="9" t="s">
        <v>81</v>
      </c>
      <c r="E12" s="10" t="s">
        <v>80</v>
      </c>
      <c r="F12" s="8" t="n">
        <v>19</v>
      </c>
      <c r="G12" s="9" t="s">
        <v>75</v>
      </c>
      <c r="H12" s="8" t="n">
        <v>64</v>
      </c>
      <c r="I12" s="8" t="n">
        <f aca="false">ABS(F12-H12)</f>
        <v>45</v>
      </c>
      <c r="J12" s="11" t="n">
        <v>0.618</v>
      </c>
      <c r="K12" s="11" t="n">
        <v>0.225</v>
      </c>
      <c r="L12" s="11" t="n">
        <v>0.158</v>
      </c>
      <c r="M12" s="8" t="s">
        <v>65</v>
      </c>
      <c r="N12" s="10" t="s">
        <v>82</v>
      </c>
      <c r="O12" s="12" t="s">
        <v>80</v>
      </c>
      <c r="P12" s="8" t="s">
        <v>63</v>
      </c>
    </row>
    <row r="13" customFormat="false" ht="15" hidden="false" customHeight="false" outlineLevel="0" collapsed="false">
      <c r="A13" s="8" t="s">
        <v>71</v>
      </c>
      <c r="B13" s="8" t="s">
        <v>58</v>
      </c>
      <c r="C13" s="8" t="s">
        <v>83</v>
      </c>
      <c r="D13" s="9" t="s">
        <v>84</v>
      </c>
      <c r="E13" s="10" t="s">
        <v>74</v>
      </c>
      <c r="F13" s="8" t="n">
        <v>30</v>
      </c>
      <c r="G13" s="9" t="s">
        <v>79</v>
      </c>
      <c r="H13" s="8" t="n">
        <v>56</v>
      </c>
      <c r="I13" s="8" t="n">
        <f aca="false">ABS(F13-H13)</f>
        <v>26</v>
      </c>
      <c r="J13" s="11" t="n">
        <v>0.553</v>
      </c>
      <c r="K13" s="11" t="n">
        <v>0.242</v>
      </c>
      <c r="L13" s="11" t="n">
        <v>0.206</v>
      </c>
      <c r="M13" s="8" t="s">
        <v>65</v>
      </c>
      <c r="N13" s="10" t="s">
        <v>85</v>
      </c>
      <c r="O13" s="12" t="s">
        <v>74</v>
      </c>
      <c r="P13" s="8" t="s">
        <v>63</v>
      </c>
    </row>
    <row r="14" customFormat="false" ht="15" hidden="false" customHeight="false" outlineLevel="0" collapsed="false">
      <c r="A14" s="8" t="s">
        <v>71</v>
      </c>
      <c r="B14" s="8" t="s">
        <v>67</v>
      </c>
      <c r="C14" s="8" t="s">
        <v>45</v>
      </c>
      <c r="D14" s="9" t="s">
        <v>84</v>
      </c>
      <c r="E14" s="9" t="s">
        <v>80</v>
      </c>
      <c r="F14" s="8" t="n">
        <v>19</v>
      </c>
      <c r="G14" s="9" t="s">
        <v>74</v>
      </c>
      <c r="H14" s="8" t="n">
        <v>30</v>
      </c>
      <c r="I14" s="8" t="n">
        <f aca="false">ABS(F14-H14)</f>
        <v>11</v>
      </c>
      <c r="J14" s="11" t="n">
        <v>0.405</v>
      </c>
      <c r="K14" s="11" t="n">
        <v>0.263</v>
      </c>
      <c r="L14" s="11" t="n">
        <v>0.332</v>
      </c>
      <c r="M14" s="14" t="s">
        <v>61</v>
      </c>
      <c r="N14" s="15" t="s">
        <v>86</v>
      </c>
      <c r="O14" s="14" t="s">
        <v>76</v>
      </c>
      <c r="P14" s="8" t="s">
        <v>63</v>
      </c>
    </row>
    <row r="15" customFormat="false" ht="15" hidden="false" customHeight="false" outlineLevel="0" collapsed="false">
      <c r="A15" s="8" t="s">
        <v>71</v>
      </c>
      <c r="B15" s="8" t="s">
        <v>67</v>
      </c>
      <c r="C15" s="8" t="s">
        <v>45</v>
      </c>
      <c r="D15" s="9" t="s">
        <v>87</v>
      </c>
      <c r="E15" s="9" t="s">
        <v>75</v>
      </c>
      <c r="F15" s="8" t="n">
        <v>64</v>
      </c>
      <c r="G15" s="9" t="s">
        <v>79</v>
      </c>
      <c r="H15" s="8" t="n">
        <v>56</v>
      </c>
      <c r="I15" s="8" t="n">
        <f aca="false">ABS(F15-H15)</f>
        <v>8</v>
      </c>
      <c r="J15" s="11" t="n">
        <v>0.342</v>
      </c>
      <c r="K15" s="11" t="n">
        <v>0.263</v>
      </c>
      <c r="L15" s="11" t="n">
        <v>0.395</v>
      </c>
      <c r="M15" s="14" t="s">
        <v>61</v>
      </c>
      <c r="N15" s="15" t="s">
        <v>86</v>
      </c>
      <c r="O15" s="14" t="s">
        <v>76</v>
      </c>
      <c r="P15" s="8" t="s">
        <v>63</v>
      </c>
    </row>
    <row r="16" customFormat="false" ht="15" hidden="false" customHeight="false" outlineLevel="0" collapsed="false">
      <c r="A16" s="8" t="s">
        <v>88</v>
      </c>
      <c r="B16" s="8" t="s">
        <v>72</v>
      </c>
      <c r="C16" s="8" t="s">
        <v>64</v>
      </c>
      <c r="D16" s="9" t="s">
        <v>81</v>
      </c>
      <c r="E16" s="10" t="s">
        <v>89</v>
      </c>
      <c r="F16" s="8" t="n">
        <v>17</v>
      </c>
      <c r="G16" s="9" t="s">
        <v>90</v>
      </c>
      <c r="H16" s="8" t="n">
        <v>41</v>
      </c>
      <c r="I16" s="8" t="n">
        <f aca="false">ABS(F16-H16)</f>
        <v>24</v>
      </c>
      <c r="J16" s="11" t="n">
        <v>0.624</v>
      </c>
      <c r="K16" s="11" t="n">
        <v>0.223</v>
      </c>
      <c r="L16" s="11" t="n">
        <v>0.153</v>
      </c>
      <c r="M16" s="8" t="s">
        <v>91</v>
      </c>
      <c r="N16" s="10" t="s">
        <v>92</v>
      </c>
      <c r="O16" s="12" t="s">
        <v>89</v>
      </c>
      <c r="P16" s="13" t="s">
        <v>51</v>
      </c>
    </row>
    <row r="17" customFormat="false" ht="15" hidden="false" customHeight="false" outlineLevel="0" collapsed="false">
      <c r="A17" s="8" t="s">
        <v>88</v>
      </c>
      <c r="B17" s="8" t="s">
        <v>77</v>
      </c>
      <c r="C17" s="8" t="s">
        <v>93</v>
      </c>
      <c r="D17" s="9" t="s">
        <v>84</v>
      </c>
      <c r="E17" s="10" t="s">
        <v>94</v>
      </c>
      <c r="F17" s="8" t="n">
        <v>27</v>
      </c>
      <c r="G17" s="9" t="s">
        <v>95</v>
      </c>
      <c r="H17" s="8" t="n">
        <v>22</v>
      </c>
      <c r="I17" s="8" t="n">
        <f aca="false">ABS(F17-H17)</f>
        <v>5</v>
      </c>
      <c r="J17" s="11" t="n">
        <v>0.345</v>
      </c>
      <c r="K17" s="11" t="n">
        <v>0.264</v>
      </c>
      <c r="L17" s="11" t="n">
        <v>0.392</v>
      </c>
      <c r="M17" s="8" t="s">
        <v>49</v>
      </c>
      <c r="N17" s="10" t="s">
        <v>96</v>
      </c>
      <c r="O17" s="12" t="s">
        <v>94</v>
      </c>
      <c r="P17" s="13" t="s">
        <v>51</v>
      </c>
    </row>
    <row r="18" customFormat="false" ht="15" hidden="false" customHeight="false" outlineLevel="0" collapsed="false">
      <c r="A18" s="8" t="s">
        <v>88</v>
      </c>
      <c r="B18" s="8" t="s">
        <v>97</v>
      </c>
      <c r="C18" s="8" t="s">
        <v>45</v>
      </c>
      <c r="D18" s="9" t="s">
        <v>87</v>
      </c>
      <c r="E18" s="10" t="s">
        <v>89</v>
      </c>
      <c r="F18" s="8" t="n">
        <v>17</v>
      </c>
      <c r="G18" s="9" t="s">
        <v>94</v>
      </c>
      <c r="H18" s="8" t="n">
        <v>27</v>
      </c>
      <c r="I18" s="8" t="n">
        <f aca="false">ABS(F18-H18)</f>
        <v>10</v>
      </c>
      <c r="J18" s="11" t="n">
        <v>0.536</v>
      </c>
      <c r="K18" s="11" t="n">
        <v>0.246</v>
      </c>
      <c r="L18" s="11" t="n">
        <v>0.219</v>
      </c>
      <c r="M18" s="8" t="s">
        <v>65</v>
      </c>
      <c r="N18" s="10" t="s">
        <v>98</v>
      </c>
      <c r="O18" s="12" t="s">
        <v>89</v>
      </c>
      <c r="P18" s="8" t="s">
        <v>63</v>
      </c>
    </row>
    <row r="19" customFormat="false" ht="15" hidden="false" customHeight="false" outlineLevel="0" collapsed="false">
      <c r="A19" s="8" t="s">
        <v>88</v>
      </c>
      <c r="B19" s="8" t="s">
        <v>97</v>
      </c>
      <c r="C19" s="8" t="s">
        <v>99</v>
      </c>
      <c r="D19" s="9" t="s">
        <v>78</v>
      </c>
      <c r="E19" s="10" t="s">
        <v>95</v>
      </c>
      <c r="F19" s="8" t="n">
        <v>22</v>
      </c>
      <c r="G19" s="9" t="s">
        <v>90</v>
      </c>
      <c r="H19" s="8" t="n">
        <v>41</v>
      </c>
      <c r="I19" s="8" t="n">
        <f aca="false">ABS(F19-H19)</f>
        <v>19</v>
      </c>
      <c r="J19" s="11" t="n">
        <v>0.48</v>
      </c>
      <c r="K19" s="11" t="n">
        <v>0.256</v>
      </c>
      <c r="L19" s="11" t="n">
        <v>0.265</v>
      </c>
      <c r="M19" s="8" t="s">
        <v>61</v>
      </c>
      <c r="N19" s="10" t="s">
        <v>100</v>
      </c>
      <c r="O19" s="12" t="s">
        <v>95</v>
      </c>
      <c r="P19" s="8" t="s">
        <v>63</v>
      </c>
    </row>
    <row r="20" customFormat="false" ht="15" hidden="false" customHeight="false" outlineLevel="0" collapsed="false">
      <c r="A20" s="8" t="s">
        <v>88</v>
      </c>
      <c r="B20" s="8" t="s">
        <v>101</v>
      </c>
      <c r="C20" s="8" t="s">
        <v>52</v>
      </c>
      <c r="D20" s="9" t="s">
        <v>81</v>
      </c>
      <c r="E20" s="9" t="s">
        <v>95</v>
      </c>
      <c r="F20" s="8" t="n">
        <v>22</v>
      </c>
      <c r="G20" s="10" t="s">
        <v>89</v>
      </c>
      <c r="H20" s="8" t="n">
        <v>17</v>
      </c>
      <c r="I20" s="8" t="n">
        <f aca="false">ABS(F20-H20)</f>
        <v>5</v>
      </c>
      <c r="J20" s="11" t="n">
        <v>0.238</v>
      </c>
      <c r="K20" s="11" t="n">
        <v>0.25</v>
      </c>
      <c r="L20" s="11" t="n">
        <v>0.511</v>
      </c>
      <c r="M20" s="8" t="s">
        <v>61</v>
      </c>
      <c r="N20" s="10" t="s">
        <v>98</v>
      </c>
      <c r="O20" s="12" t="s">
        <v>89</v>
      </c>
      <c r="P20" s="8" t="s">
        <v>63</v>
      </c>
    </row>
    <row r="21" customFormat="false" ht="15" hidden="false" customHeight="false" outlineLevel="0" collapsed="false">
      <c r="A21" s="8" t="s">
        <v>88</v>
      </c>
      <c r="B21" s="8" t="s">
        <v>101</v>
      </c>
      <c r="C21" s="8" t="s">
        <v>52</v>
      </c>
      <c r="D21" s="9" t="s">
        <v>78</v>
      </c>
      <c r="E21" s="9" t="s">
        <v>90</v>
      </c>
      <c r="F21" s="8" t="n">
        <v>41</v>
      </c>
      <c r="G21" s="10" t="s">
        <v>94</v>
      </c>
      <c r="H21" s="8" t="n">
        <v>27</v>
      </c>
      <c r="I21" s="8" t="n">
        <f aca="false">ABS(F21-H21)</f>
        <v>14</v>
      </c>
      <c r="J21" s="11" t="n">
        <v>0.286</v>
      </c>
      <c r="K21" s="11" t="n">
        <v>0.259</v>
      </c>
      <c r="L21" s="11" t="n">
        <v>0.455</v>
      </c>
      <c r="M21" s="8" t="s">
        <v>61</v>
      </c>
      <c r="N21" s="10" t="s">
        <v>102</v>
      </c>
      <c r="O21" s="12" t="s">
        <v>94</v>
      </c>
      <c r="P21" s="8" t="s">
        <v>63</v>
      </c>
    </row>
    <row r="22" customFormat="false" ht="15" hidden="false" customHeight="false" outlineLevel="0" collapsed="false">
      <c r="A22" s="8" t="s">
        <v>103</v>
      </c>
      <c r="B22" s="8" t="s">
        <v>77</v>
      </c>
      <c r="C22" s="8" t="s">
        <v>83</v>
      </c>
      <c r="D22" s="9" t="s">
        <v>104</v>
      </c>
      <c r="E22" s="9" t="s">
        <v>105</v>
      </c>
      <c r="F22" s="8" t="n">
        <v>6</v>
      </c>
      <c r="G22" s="9" t="s">
        <v>106</v>
      </c>
      <c r="H22" s="8" t="n">
        <v>7</v>
      </c>
      <c r="I22" s="8" t="n">
        <f aca="false">ABS(F22-H22)</f>
        <v>1</v>
      </c>
      <c r="J22" s="11" t="n">
        <v>0.371</v>
      </c>
      <c r="K22" s="11" t="n">
        <v>0.264</v>
      </c>
      <c r="L22" s="11" t="n">
        <v>0.365</v>
      </c>
      <c r="M22" s="14" t="s">
        <v>61</v>
      </c>
      <c r="N22" s="15" t="s">
        <v>76</v>
      </c>
      <c r="O22" s="14" t="s">
        <v>76</v>
      </c>
      <c r="P22" s="13" t="s">
        <v>51</v>
      </c>
    </row>
    <row r="23" customFormat="false" ht="15" hidden="false" customHeight="false" outlineLevel="0" collapsed="false">
      <c r="A23" s="8" t="s">
        <v>103</v>
      </c>
      <c r="B23" s="8" t="s">
        <v>77</v>
      </c>
      <c r="C23" s="8" t="s">
        <v>64</v>
      </c>
      <c r="D23" s="9" t="s">
        <v>107</v>
      </c>
      <c r="E23" s="9" t="s">
        <v>108</v>
      </c>
      <c r="F23" s="8" t="n">
        <v>83</v>
      </c>
      <c r="G23" s="10" t="s">
        <v>109</v>
      </c>
      <c r="H23" s="8" t="n">
        <v>42</v>
      </c>
      <c r="I23" s="8" t="n">
        <f aca="false">ABS(F23-H23)</f>
        <v>41</v>
      </c>
      <c r="J23" s="11" t="n">
        <v>0.238</v>
      </c>
      <c r="K23" s="11" t="n">
        <v>0.25</v>
      </c>
      <c r="L23" s="11" t="n">
        <v>0.511</v>
      </c>
      <c r="M23" s="8" t="s">
        <v>68</v>
      </c>
      <c r="N23" s="10" t="s">
        <v>110</v>
      </c>
      <c r="O23" s="12" t="s">
        <v>109</v>
      </c>
      <c r="P23" s="13" t="s">
        <v>51</v>
      </c>
    </row>
    <row r="24" customFormat="false" ht="15" hidden="false" customHeight="false" outlineLevel="0" collapsed="false">
      <c r="A24" s="8" t="s">
        <v>103</v>
      </c>
      <c r="B24" s="8" t="s">
        <v>97</v>
      </c>
      <c r="C24" s="8" t="s">
        <v>83</v>
      </c>
      <c r="D24" s="9" t="s">
        <v>107</v>
      </c>
      <c r="E24" s="9" t="s">
        <v>109</v>
      </c>
      <c r="F24" s="8" t="n">
        <v>42</v>
      </c>
      <c r="G24" s="10" t="s">
        <v>106</v>
      </c>
      <c r="H24" s="8" t="n">
        <v>7</v>
      </c>
      <c r="I24" s="8" t="n">
        <f aca="false">ABS(F24-H24)</f>
        <v>35</v>
      </c>
      <c r="J24" s="11" t="n">
        <v>0.131</v>
      </c>
      <c r="K24" s="11" t="n">
        <v>0.212</v>
      </c>
      <c r="L24" s="11" t="n">
        <v>0.658</v>
      </c>
      <c r="M24" s="8" t="s">
        <v>68</v>
      </c>
      <c r="N24" s="10" t="s">
        <v>111</v>
      </c>
      <c r="O24" s="12" t="s">
        <v>106</v>
      </c>
      <c r="P24" s="8" t="s">
        <v>63</v>
      </c>
    </row>
    <row r="25" customFormat="false" ht="15" hidden="false" customHeight="false" outlineLevel="0" collapsed="false">
      <c r="A25" s="8" t="s">
        <v>103</v>
      </c>
      <c r="B25" s="8" t="s">
        <v>97</v>
      </c>
      <c r="C25" s="8" t="s">
        <v>112</v>
      </c>
      <c r="D25" s="9" t="s">
        <v>113</v>
      </c>
      <c r="E25" s="10" t="s">
        <v>105</v>
      </c>
      <c r="F25" s="8" t="n">
        <v>6</v>
      </c>
      <c r="G25" s="9" t="s">
        <v>108</v>
      </c>
      <c r="H25" s="8" t="n">
        <v>83</v>
      </c>
      <c r="I25" s="8" t="n">
        <f aca="false">ABS(F25-H25)</f>
        <v>77</v>
      </c>
      <c r="J25" s="11" t="n">
        <v>0.791</v>
      </c>
      <c r="K25" s="11" t="n">
        <v>0.156</v>
      </c>
      <c r="L25" s="11" t="n">
        <v>0.054</v>
      </c>
      <c r="M25" s="8" t="s">
        <v>49</v>
      </c>
      <c r="N25" s="10" t="s">
        <v>114</v>
      </c>
      <c r="O25" s="12" t="s">
        <v>105</v>
      </c>
      <c r="P25" s="8" t="s">
        <v>63</v>
      </c>
    </row>
    <row r="26" customFormat="false" ht="15" hidden="false" customHeight="false" outlineLevel="0" collapsed="false">
      <c r="A26" s="8" t="s">
        <v>103</v>
      </c>
      <c r="B26" s="8" t="s">
        <v>67</v>
      </c>
      <c r="C26" s="8" t="s">
        <v>83</v>
      </c>
      <c r="D26" s="9" t="s">
        <v>60</v>
      </c>
      <c r="E26" s="10" t="s">
        <v>106</v>
      </c>
      <c r="F26" s="8" t="n">
        <v>7</v>
      </c>
      <c r="G26" s="9" t="s">
        <v>108</v>
      </c>
      <c r="H26" s="8" t="n">
        <v>83</v>
      </c>
      <c r="I26" s="8" t="n">
        <f aca="false">ABS(F26-H26)</f>
        <v>76</v>
      </c>
      <c r="J26" s="11" t="n">
        <v>0.788</v>
      </c>
      <c r="K26" s="11" t="n">
        <v>0.157</v>
      </c>
      <c r="L26" s="11" t="n">
        <v>0.055</v>
      </c>
      <c r="M26" s="8" t="s">
        <v>49</v>
      </c>
      <c r="N26" s="10" t="s">
        <v>111</v>
      </c>
      <c r="O26" s="12" t="s">
        <v>106</v>
      </c>
      <c r="P26" s="8" t="s">
        <v>63</v>
      </c>
    </row>
    <row r="27" customFormat="false" ht="15" hidden="false" customHeight="false" outlineLevel="0" collapsed="false">
      <c r="A27" s="8" t="s">
        <v>103</v>
      </c>
      <c r="B27" s="8" t="s">
        <v>67</v>
      </c>
      <c r="C27" s="8" t="s">
        <v>83</v>
      </c>
      <c r="D27" s="9" t="s">
        <v>115</v>
      </c>
      <c r="E27" s="9" t="s">
        <v>109</v>
      </c>
      <c r="F27" s="8" t="n">
        <v>42</v>
      </c>
      <c r="G27" s="10" t="s">
        <v>105</v>
      </c>
      <c r="H27" s="8" t="n">
        <v>6</v>
      </c>
      <c r="I27" s="8" t="n">
        <f aca="false">ABS(F27-H27)</f>
        <v>36</v>
      </c>
      <c r="J27" s="11" t="n">
        <v>0.128</v>
      </c>
      <c r="K27" s="11" t="n">
        <v>0.21</v>
      </c>
      <c r="L27" s="11" t="n">
        <v>0.661</v>
      </c>
      <c r="M27" s="8" t="s">
        <v>68</v>
      </c>
      <c r="N27" s="10" t="s">
        <v>114</v>
      </c>
      <c r="O27" s="12" t="s">
        <v>105</v>
      </c>
      <c r="P27" s="8" t="s">
        <v>63</v>
      </c>
    </row>
    <row r="28" customFormat="false" ht="15" hidden="false" customHeight="false" outlineLevel="0" collapsed="false">
      <c r="A28" s="8" t="s">
        <v>116</v>
      </c>
      <c r="B28" s="8" t="s">
        <v>117</v>
      </c>
      <c r="C28" s="8" t="s">
        <v>118</v>
      </c>
      <c r="D28" s="9" t="s">
        <v>119</v>
      </c>
      <c r="E28" s="10" t="s">
        <v>120</v>
      </c>
      <c r="F28" s="8" t="n">
        <v>10</v>
      </c>
      <c r="G28" s="9" t="s">
        <v>121</v>
      </c>
      <c r="H28" s="8" t="n">
        <v>82</v>
      </c>
      <c r="I28" s="8" t="n">
        <f aca="false">ABS(F28-H28)</f>
        <v>72</v>
      </c>
      <c r="J28" s="11" t="n">
        <v>0.759</v>
      </c>
      <c r="K28" s="11" t="n">
        <v>0.171</v>
      </c>
      <c r="L28" s="11" t="n">
        <v>0.07</v>
      </c>
      <c r="M28" s="8" t="s">
        <v>122</v>
      </c>
      <c r="N28" s="10" t="s">
        <v>123</v>
      </c>
      <c r="O28" s="12" t="s">
        <v>120</v>
      </c>
      <c r="P28" s="13" t="s">
        <v>51</v>
      </c>
    </row>
    <row r="29" customFormat="false" ht="15" hidden="false" customHeight="false" outlineLevel="0" collapsed="false">
      <c r="A29" s="8" t="s">
        <v>116</v>
      </c>
      <c r="B29" s="8" t="s">
        <v>117</v>
      </c>
      <c r="C29" s="8" t="s">
        <v>124</v>
      </c>
      <c r="D29" s="9" t="s">
        <v>113</v>
      </c>
      <c r="E29" s="10" t="s">
        <v>125</v>
      </c>
      <c r="F29" s="8" t="n">
        <v>33</v>
      </c>
      <c r="G29" s="9" t="s">
        <v>126</v>
      </c>
      <c r="H29" s="8" t="n">
        <v>23</v>
      </c>
      <c r="I29" s="8" t="n">
        <f aca="false">ABS(F29-H29)</f>
        <v>10</v>
      </c>
      <c r="J29" s="11" t="n">
        <v>0.307</v>
      </c>
      <c r="K29" s="11" t="n">
        <v>0.261</v>
      </c>
      <c r="L29" s="11" t="n">
        <v>0.432</v>
      </c>
      <c r="M29" s="8" t="s">
        <v>65</v>
      </c>
      <c r="N29" s="10" t="s">
        <v>127</v>
      </c>
      <c r="O29" s="12" t="s">
        <v>125</v>
      </c>
      <c r="P29" s="13" t="s">
        <v>51</v>
      </c>
    </row>
    <row r="30" customFormat="false" ht="15" hidden="false" customHeight="false" outlineLevel="0" collapsed="false">
      <c r="A30" s="8" t="s">
        <v>116</v>
      </c>
      <c r="B30" s="8" t="s">
        <v>128</v>
      </c>
      <c r="C30" s="8" t="s">
        <v>129</v>
      </c>
      <c r="D30" s="9" t="s">
        <v>73</v>
      </c>
      <c r="E30" s="10" t="s">
        <v>120</v>
      </c>
      <c r="F30" s="8" t="n">
        <v>10</v>
      </c>
      <c r="G30" s="9" t="s">
        <v>125</v>
      </c>
      <c r="H30" s="8" t="n">
        <v>33</v>
      </c>
      <c r="I30" s="8" t="n">
        <f aca="false">ABS(F30-H30)</f>
        <v>23</v>
      </c>
      <c r="J30" s="11" t="n">
        <v>0.584</v>
      </c>
      <c r="K30" s="11" t="n">
        <v>0.234</v>
      </c>
      <c r="L30" s="11" t="n">
        <v>0.182</v>
      </c>
      <c r="M30" s="8" t="s">
        <v>65</v>
      </c>
      <c r="N30" s="10" t="s">
        <v>130</v>
      </c>
      <c r="O30" s="12" t="s">
        <v>120</v>
      </c>
      <c r="P30" s="8" t="s">
        <v>63</v>
      </c>
    </row>
    <row r="31" customFormat="false" ht="15" hidden="false" customHeight="false" outlineLevel="0" collapsed="false">
      <c r="A31" s="8" t="s">
        <v>116</v>
      </c>
      <c r="B31" s="8" t="s">
        <v>128</v>
      </c>
      <c r="C31" s="8" t="s">
        <v>131</v>
      </c>
      <c r="D31" s="9" t="s">
        <v>132</v>
      </c>
      <c r="E31" s="10" t="s">
        <v>126</v>
      </c>
      <c r="F31" s="8" t="n">
        <v>23</v>
      </c>
      <c r="G31" s="9" t="s">
        <v>121</v>
      </c>
      <c r="H31" s="8" t="n">
        <v>82</v>
      </c>
      <c r="I31" s="8" t="n">
        <f aca="false">ABS(F31-H31)</f>
        <v>59</v>
      </c>
      <c r="J31" s="11" t="n">
        <v>0.618</v>
      </c>
      <c r="K31" s="11" t="n">
        <v>0.225</v>
      </c>
      <c r="L31" s="11" t="n">
        <v>0.158</v>
      </c>
      <c r="M31" s="8" t="s">
        <v>65</v>
      </c>
      <c r="N31" s="10" t="s">
        <v>133</v>
      </c>
      <c r="O31" s="12" t="s">
        <v>126</v>
      </c>
      <c r="P31" s="8" t="s">
        <v>63</v>
      </c>
    </row>
    <row r="32" customFormat="false" ht="15" hidden="false" customHeight="false" outlineLevel="0" collapsed="false">
      <c r="A32" s="8" t="s">
        <v>116</v>
      </c>
      <c r="B32" s="8" t="s">
        <v>101</v>
      </c>
      <c r="C32" s="8" t="s">
        <v>129</v>
      </c>
      <c r="D32" s="9" t="s">
        <v>104</v>
      </c>
      <c r="E32" s="9" t="s">
        <v>126</v>
      </c>
      <c r="F32" s="8" t="n">
        <v>23</v>
      </c>
      <c r="G32" s="10" t="s">
        <v>120</v>
      </c>
      <c r="H32" s="8" t="n">
        <v>10</v>
      </c>
      <c r="I32" s="8" t="n">
        <f aca="false">ABS(F32-H32)</f>
        <v>13</v>
      </c>
      <c r="J32" s="11" t="n">
        <v>0.233</v>
      </c>
      <c r="K32" s="11" t="n">
        <v>0.249</v>
      </c>
      <c r="L32" s="11" t="n">
        <v>0.518</v>
      </c>
      <c r="M32" s="8" t="s">
        <v>68</v>
      </c>
      <c r="N32" s="10" t="s">
        <v>130</v>
      </c>
      <c r="O32" s="12" t="s">
        <v>120</v>
      </c>
      <c r="P32" s="8" t="s">
        <v>63</v>
      </c>
    </row>
    <row r="33" customFormat="false" ht="15" hidden="false" customHeight="false" outlineLevel="0" collapsed="false">
      <c r="A33" s="8" t="s">
        <v>116</v>
      </c>
      <c r="B33" s="8" t="s">
        <v>101</v>
      </c>
      <c r="C33" s="8" t="s">
        <v>129</v>
      </c>
      <c r="D33" s="9" t="s">
        <v>113</v>
      </c>
      <c r="E33" s="9" t="s">
        <v>121</v>
      </c>
      <c r="F33" s="8" t="n">
        <v>82</v>
      </c>
      <c r="G33" s="10" t="s">
        <v>125</v>
      </c>
      <c r="H33" s="8" t="n">
        <v>33</v>
      </c>
      <c r="I33" s="8" t="n">
        <f aca="false">ABS(F33-H33)</f>
        <v>49</v>
      </c>
      <c r="J33" s="11" t="n">
        <v>0.206</v>
      </c>
      <c r="K33" s="11" t="n">
        <v>0.242</v>
      </c>
      <c r="L33" s="11" t="n">
        <v>0.553</v>
      </c>
      <c r="M33" s="8" t="s">
        <v>68</v>
      </c>
      <c r="N33" s="10" t="s">
        <v>134</v>
      </c>
      <c r="O33" s="12" t="s">
        <v>125</v>
      </c>
      <c r="P33" s="8" t="s">
        <v>63</v>
      </c>
    </row>
    <row r="34" customFormat="false" ht="15" hidden="false" customHeight="false" outlineLevel="0" collapsed="false">
      <c r="A34" s="8" t="s">
        <v>135</v>
      </c>
      <c r="B34" s="8" t="s">
        <v>117</v>
      </c>
      <c r="C34" s="8" t="s">
        <v>129</v>
      </c>
      <c r="D34" s="9" t="s">
        <v>136</v>
      </c>
      <c r="E34" s="9" t="s">
        <v>137</v>
      </c>
      <c r="F34" s="8" t="n">
        <v>8</v>
      </c>
      <c r="G34" s="9" t="s">
        <v>138</v>
      </c>
      <c r="H34" s="8" t="n">
        <v>18</v>
      </c>
      <c r="I34" s="8" t="n">
        <f aca="false">ABS(F34-H34)</f>
        <v>10</v>
      </c>
      <c r="J34" s="11" t="n">
        <v>0.473</v>
      </c>
      <c r="K34" s="11" t="n">
        <v>0.256</v>
      </c>
      <c r="L34" s="11" t="n">
        <v>0.27</v>
      </c>
      <c r="M34" s="14" t="s">
        <v>139</v>
      </c>
      <c r="N34" s="15" t="s">
        <v>76</v>
      </c>
      <c r="O34" s="14" t="s">
        <v>76</v>
      </c>
      <c r="P34" s="13" t="s">
        <v>51</v>
      </c>
    </row>
    <row r="35" customFormat="false" ht="15" hidden="false" customHeight="false" outlineLevel="0" collapsed="false">
      <c r="A35" s="8" t="s">
        <v>135</v>
      </c>
      <c r="B35" s="8" t="s">
        <v>117</v>
      </c>
      <c r="C35" s="8" t="s">
        <v>52</v>
      </c>
      <c r="D35" s="9" t="s">
        <v>69</v>
      </c>
      <c r="E35" s="10" t="s">
        <v>140</v>
      </c>
      <c r="F35" s="8" t="n">
        <v>38</v>
      </c>
      <c r="G35" s="9" t="s">
        <v>141</v>
      </c>
      <c r="H35" s="8" t="n">
        <v>45</v>
      </c>
      <c r="I35" s="8" t="n">
        <f aca="false">ABS(F35-H35)</f>
        <v>7</v>
      </c>
      <c r="J35" s="11" t="n">
        <v>0.4</v>
      </c>
      <c r="K35" s="11" t="n">
        <v>0.263</v>
      </c>
      <c r="L35" s="11" t="n">
        <v>0.336</v>
      </c>
      <c r="M35" s="8" t="s">
        <v>142</v>
      </c>
      <c r="N35" s="10" t="s">
        <v>143</v>
      </c>
      <c r="O35" s="12" t="s">
        <v>140</v>
      </c>
      <c r="P35" s="13" t="s">
        <v>51</v>
      </c>
    </row>
    <row r="36" customFormat="false" ht="15" hidden="false" customHeight="false" outlineLevel="0" collapsed="false">
      <c r="A36" s="8" t="s">
        <v>135</v>
      </c>
      <c r="B36" s="8" t="s">
        <v>128</v>
      </c>
      <c r="C36" s="8" t="s">
        <v>118</v>
      </c>
      <c r="D36" s="9" t="s">
        <v>119</v>
      </c>
      <c r="E36" s="10" t="s">
        <v>137</v>
      </c>
      <c r="F36" s="8" t="n">
        <v>8</v>
      </c>
      <c r="G36" s="9" t="s">
        <v>140</v>
      </c>
      <c r="H36" s="8" t="n">
        <v>38</v>
      </c>
      <c r="I36" s="8" t="n">
        <f aca="false">ABS(F36-H36)</f>
        <v>30</v>
      </c>
      <c r="J36" s="11" t="n">
        <v>0.635</v>
      </c>
      <c r="K36" s="11" t="n">
        <v>0.219</v>
      </c>
      <c r="L36" s="11" t="n">
        <v>0.146</v>
      </c>
      <c r="M36" s="8" t="s">
        <v>65</v>
      </c>
      <c r="N36" s="10" t="s">
        <v>144</v>
      </c>
      <c r="O36" s="12" t="s">
        <v>137</v>
      </c>
      <c r="P36" s="8" t="s">
        <v>63</v>
      </c>
    </row>
    <row r="37" customFormat="false" ht="15" hidden="false" customHeight="false" outlineLevel="0" collapsed="false">
      <c r="A37" s="8" t="s">
        <v>135</v>
      </c>
      <c r="B37" s="8" t="s">
        <v>128</v>
      </c>
      <c r="C37" s="8" t="s">
        <v>93</v>
      </c>
      <c r="D37" s="9" t="s">
        <v>69</v>
      </c>
      <c r="E37" s="9" t="s">
        <v>141</v>
      </c>
      <c r="F37" s="8" t="n">
        <v>45</v>
      </c>
      <c r="G37" s="10" t="s">
        <v>138</v>
      </c>
      <c r="H37" s="8" t="n">
        <v>18</v>
      </c>
      <c r="I37" s="8" t="n">
        <f aca="false">ABS(F37-H37)</f>
        <v>27</v>
      </c>
      <c r="J37" s="11" t="n">
        <v>0.198</v>
      </c>
      <c r="K37" s="11" t="n">
        <v>0.24</v>
      </c>
      <c r="L37" s="11" t="n">
        <v>0.563</v>
      </c>
      <c r="M37" s="8" t="s">
        <v>68</v>
      </c>
      <c r="N37" s="10" t="s">
        <v>145</v>
      </c>
      <c r="O37" s="12" t="s">
        <v>138</v>
      </c>
      <c r="P37" s="8" t="s">
        <v>63</v>
      </c>
    </row>
    <row r="38" customFormat="false" ht="15" hidden="false" customHeight="false" outlineLevel="0" collapsed="false">
      <c r="A38" s="8" t="s">
        <v>135</v>
      </c>
      <c r="B38" s="8" t="s">
        <v>101</v>
      </c>
      <c r="C38" s="8" t="s">
        <v>124</v>
      </c>
      <c r="D38" s="9" t="s">
        <v>136</v>
      </c>
      <c r="E38" s="10" t="s">
        <v>138</v>
      </c>
      <c r="F38" s="8" t="n">
        <v>18</v>
      </c>
      <c r="G38" s="9" t="s">
        <v>140</v>
      </c>
      <c r="H38" s="8" t="n">
        <v>38</v>
      </c>
      <c r="I38" s="8" t="n">
        <f aca="false">ABS(F38-H38)</f>
        <v>20</v>
      </c>
      <c r="J38" s="11" t="n">
        <v>0.529</v>
      </c>
      <c r="K38" s="11" t="n">
        <v>0.247</v>
      </c>
      <c r="L38" s="11" t="n">
        <v>0.224</v>
      </c>
      <c r="M38" s="8" t="s">
        <v>65</v>
      </c>
      <c r="N38" s="10" t="s">
        <v>145</v>
      </c>
      <c r="O38" s="12" t="s">
        <v>138</v>
      </c>
      <c r="P38" s="8" t="s">
        <v>63</v>
      </c>
    </row>
    <row r="39" customFormat="false" ht="15" hidden="false" customHeight="false" outlineLevel="0" collapsed="false">
      <c r="A39" s="8" t="s">
        <v>135</v>
      </c>
      <c r="B39" s="8" t="s">
        <v>101</v>
      </c>
      <c r="C39" s="8" t="s">
        <v>124</v>
      </c>
      <c r="D39" s="9" t="s">
        <v>132</v>
      </c>
      <c r="E39" s="9" t="s">
        <v>141</v>
      </c>
      <c r="F39" s="8" t="n">
        <v>45</v>
      </c>
      <c r="G39" s="10" t="s">
        <v>137</v>
      </c>
      <c r="H39" s="8" t="n">
        <v>8</v>
      </c>
      <c r="I39" s="8" t="n">
        <f aca="false">ABS(F39-H39)</f>
        <v>37</v>
      </c>
      <c r="J39" s="11" t="n">
        <v>0.124</v>
      </c>
      <c r="K39" s="11" t="n">
        <v>0.208</v>
      </c>
      <c r="L39" s="11" t="n">
        <v>0.667</v>
      </c>
      <c r="M39" s="8" t="s">
        <v>68</v>
      </c>
      <c r="N39" s="10" t="s">
        <v>144</v>
      </c>
      <c r="O39" s="12" t="s">
        <v>137</v>
      </c>
      <c r="P39" s="8" t="s">
        <v>63</v>
      </c>
    </row>
    <row r="40" customFormat="false" ht="15" hidden="false" customHeight="false" outlineLevel="0" collapsed="false">
      <c r="A40" s="8" t="s">
        <v>146</v>
      </c>
      <c r="B40" s="8" t="s">
        <v>147</v>
      </c>
      <c r="C40" s="8" t="s">
        <v>83</v>
      </c>
      <c r="D40" s="9" t="s">
        <v>115</v>
      </c>
      <c r="E40" s="9" t="s">
        <v>148</v>
      </c>
      <c r="F40" s="8" t="n">
        <v>61</v>
      </c>
      <c r="G40" s="9" t="s">
        <v>149</v>
      </c>
      <c r="H40" s="8" t="n">
        <v>16</v>
      </c>
      <c r="I40" s="8" t="n">
        <f aca="false">ABS(F40-H40)</f>
        <v>45</v>
      </c>
      <c r="J40" s="11" t="n">
        <v>0.145</v>
      </c>
      <c r="K40" s="11" t="n">
        <v>0.219</v>
      </c>
      <c r="L40" s="11" t="n">
        <v>0.636</v>
      </c>
      <c r="M40" s="14" t="s">
        <v>61</v>
      </c>
      <c r="N40" s="15" t="s">
        <v>76</v>
      </c>
      <c r="O40" s="14" t="s">
        <v>76</v>
      </c>
      <c r="P40" s="13" t="s">
        <v>51</v>
      </c>
    </row>
    <row r="41" customFormat="false" ht="15" hidden="false" customHeight="false" outlineLevel="0" collapsed="false">
      <c r="A41" s="8" t="s">
        <v>146</v>
      </c>
      <c r="B41" s="8" t="s">
        <v>147</v>
      </c>
      <c r="C41" s="8" t="s">
        <v>59</v>
      </c>
      <c r="D41" s="9" t="s">
        <v>60</v>
      </c>
      <c r="E41" s="9" t="s">
        <v>150</v>
      </c>
      <c r="F41" s="8" t="n">
        <v>2</v>
      </c>
      <c r="G41" s="9" t="s">
        <v>151</v>
      </c>
      <c r="H41" s="8" t="n">
        <v>67</v>
      </c>
      <c r="I41" s="8" t="n">
        <f aca="false">ABS(F41-H41)</f>
        <v>65</v>
      </c>
      <c r="J41" s="11" t="n">
        <v>0.848</v>
      </c>
      <c r="K41" s="11" t="n">
        <v>0.125</v>
      </c>
      <c r="L41" s="11" t="n">
        <v>0.028</v>
      </c>
      <c r="M41" s="14" t="s">
        <v>152</v>
      </c>
      <c r="N41" s="15" t="s">
        <v>76</v>
      </c>
      <c r="O41" s="14" t="s">
        <v>76</v>
      </c>
      <c r="P41" s="13" t="s">
        <v>51</v>
      </c>
    </row>
    <row r="42" customFormat="false" ht="15" hidden="false" customHeight="false" outlineLevel="0" collapsed="false">
      <c r="A42" s="8" t="s">
        <v>146</v>
      </c>
      <c r="B42" s="8" t="s">
        <v>153</v>
      </c>
      <c r="C42" s="8" t="s">
        <v>59</v>
      </c>
      <c r="D42" s="9" t="s">
        <v>60</v>
      </c>
      <c r="E42" s="10" t="s">
        <v>150</v>
      </c>
      <c r="F42" s="8" t="n">
        <v>2</v>
      </c>
      <c r="G42" s="9" t="s">
        <v>148</v>
      </c>
      <c r="H42" s="8" t="n">
        <v>61</v>
      </c>
      <c r="I42" s="8" t="n">
        <f aca="false">ABS(F42-H42)</f>
        <v>59</v>
      </c>
      <c r="J42" s="11" t="n">
        <v>0.833</v>
      </c>
      <c r="K42" s="11" t="n">
        <v>0.133</v>
      </c>
      <c r="L42" s="11" t="n">
        <v>0.034</v>
      </c>
      <c r="M42" s="8" t="s">
        <v>49</v>
      </c>
      <c r="N42" s="10" t="s">
        <v>154</v>
      </c>
      <c r="O42" s="12" t="s">
        <v>150</v>
      </c>
      <c r="P42" s="8" t="s">
        <v>63</v>
      </c>
    </row>
    <row r="43" customFormat="false" ht="15" hidden="false" customHeight="false" outlineLevel="0" collapsed="false">
      <c r="A43" s="8" t="s">
        <v>146</v>
      </c>
      <c r="B43" s="8" t="s">
        <v>153</v>
      </c>
      <c r="C43" s="8" t="s">
        <v>83</v>
      </c>
      <c r="D43" s="9" t="s">
        <v>115</v>
      </c>
      <c r="E43" s="10" t="s">
        <v>149</v>
      </c>
      <c r="F43" s="8" t="n">
        <v>16</v>
      </c>
      <c r="G43" s="9" t="s">
        <v>151</v>
      </c>
      <c r="H43" s="8" t="n">
        <v>67</v>
      </c>
      <c r="I43" s="8" t="n">
        <f aca="false">ABS(F43-H43)</f>
        <v>51</v>
      </c>
      <c r="J43" s="11" t="n">
        <v>0.656</v>
      </c>
      <c r="K43" s="11" t="n">
        <v>0.212</v>
      </c>
      <c r="L43" s="11" t="n">
        <v>0.132</v>
      </c>
      <c r="M43" s="8" t="s">
        <v>65</v>
      </c>
      <c r="N43" s="10" t="s">
        <v>155</v>
      </c>
      <c r="O43" s="12" t="s">
        <v>149</v>
      </c>
      <c r="P43" s="8" t="s">
        <v>63</v>
      </c>
    </row>
    <row r="44" customFormat="false" ht="15" hidden="false" customHeight="false" outlineLevel="0" collapsed="false">
      <c r="A44" s="8" t="s">
        <v>146</v>
      </c>
      <c r="B44" s="8" t="s">
        <v>156</v>
      </c>
      <c r="C44" s="8" t="s">
        <v>131</v>
      </c>
      <c r="D44" s="9" t="s">
        <v>119</v>
      </c>
      <c r="E44" s="9" t="s">
        <v>151</v>
      </c>
      <c r="F44" s="8" t="n">
        <v>67</v>
      </c>
      <c r="G44" s="9" t="s">
        <v>148</v>
      </c>
      <c r="H44" s="8" t="n">
        <v>61</v>
      </c>
      <c r="I44" s="8" t="n">
        <f aca="false">ABS(F44-H44)</f>
        <v>6</v>
      </c>
      <c r="J44" s="11" t="n">
        <v>0.349</v>
      </c>
      <c r="K44" s="11" t="n">
        <v>0.264</v>
      </c>
      <c r="L44" s="11" t="n">
        <v>0.387</v>
      </c>
      <c r="M44" s="14" t="s">
        <v>61</v>
      </c>
      <c r="N44" s="15" t="s">
        <v>86</v>
      </c>
      <c r="O44" s="14" t="s">
        <v>76</v>
      </c>
      <c r="P44" s="8" t="s">
        <v>63</v>
      </c>
    </row>
    <row r="45" customFormat="false" ht="15" hidden="false" customHeight="false" outlineLevel="0" collapsed="false">
      <c r="A45" s="8" t="s">
        <v>146</v>
      </c>
      <c r="B45" s="8" t="s">
        <v>156</v>
      </c>
      <c r="C45" s="8" t="s">
        <v>131</v>
      </c>
      <c r="D45" s="9" t="s">
        <v>53</v>
      </c>
      <c r="E45" s="9" t="s">
        <v>149</v>
      </c>
      <c r="F45" s="8" t="n">
        <v>16</v>
      </c>
      <c r="G45" s="10" t="s">
        <v>150</v>
      </c>
      <c r="H45" s="8" t="n">
        <v>2</v>
      </c>
      <c r="I45" s="8" t="n">
        <f aca="false">ABS(F45-H45)</f>
        <v>14</v>
      </c>
      <c r="J45" s="11" t="n">
        <v>0.177</v>
      </c>
      <c r="K45" s="11" t="n">
        <v>0.232</v>
      </c>
      <c r="L45" s="11" t="n">
        <v>0.59</v>
      </c>
      <c r="M45" s="8" t="s">
        <v>68</v>
      </c>
      <c r="N45" s="10" t="s">
        <v>154</v>
      </c>
      <c r="O45" s="12" t="s">
        <v>150</v>
      </c>
      <c r="P45" s="8" t="s">
        <v>63</v>
      </c>
    </row>
    <row r="46" customFormat="false" ht="15" hidden="false" customHeight="false" outlineLevel="0" collapsed="false">
      <c r="A46" s="8" t="s">
        <v>157</v>
      </c>
      <c r="B46" s="8" t="s">
        <v>147</v>
      </c>
      <c r="C46" s="8" t="s">
        <v>45</v>
      </c>
      <c r="D46" s="9" t="s">
        <v>87</v>
      </c>
      <c r="E46" s="9" t="s">
        <v>158</v>
      </c>
      <c r="F46" s="8" t="n">
        <v>9</v>
      </c>
      <c r="G46" s="9" t="s">
        <v>159</v>
      </c>
      <c r="H46" s="8" t="n">
        <v>29</v>
      </c>
      <c r="I46" s="8" t="n">
        <f aca="false">ABS(F46-H46)</f>
        <v>20</v>
      </c>
      <c r="J46" s="11" t="n">
        <v>0.562</v>
      </c>
      <c r="K46" s="11" t="n">
        <v>0.24</v>
      </c>
      <c r="L46" s="11" t="n">
        <v>0.199</v>
      </c>
      <c r="M46" s="14" t="s">
        <v>61</v>
      </c>
      <c r="N46" s="15" t="s">
        <v>76</v>
      </c>
      <c r="O46" s="14" t="s">
        <v>76</v>
      </c>
      <c r="P46" s="13" t="s">
        <v>51</v>
      </c>
    </row>
    <row r="47" customFormat="false" ht="15" hidden="false" customHeight="false" outlineLevel="0" collapsed="false">
      <c r="A47" s="8" t="s">
        <v>157</v>
      </c>
      <c r="B47" s="8" t="s">
        <v>147</v>
      </c>
      <c r="C47" s="8" t="s">
        <v>64</v>
      </c>
      <c r="D47" s="9" t="s">
        <v>81</v>
      </c>
      <c r="E47" s="9" t="s">
        <v>160</v>
      </c>
      <c r="F47" s="8" t="n">
        <v>20</v>
      </c>
      <c r="G47" s="9" t="s">
        <v>161</v>
      </c>
      <c r="H47" s="8" t="n">
        <v>85</v>
      </c>
      <c r="I47" s="8" t="n">
        <f aca="false">ABS(F47-H47)</f>
        <v>65</v>
      </c>
      <c r="J47" s="11" t="n">
        <v>0.662</v>
      </c>
      <c r="K47" s="11" t="n">
        <v>0.21</v>
      </c>
      <c r="L47" s="11" t="n">
        <v>0.128</v>
      </c>
      <c r="M47" s="14" t="s">
        <v>139</v>
      </c>
      <c r="N47" s="15" t="s">
        <v>76</v>
      </c>
      <c r="O47" s="14" t="s">
        <v>76</v>
      </c>
      <c r="P47" s="13" t="s">
        <v>51</v>
      </c>
    </row>
    <row r="48" customFormat="false" ht="15" hidden="false" customHeight="false" outlineLevel="0" collapsed="false">
      <c r="A48" s="8" t="s">
        <v>157</v>
      </c>
      <c r="B48" s="8" t="s">
        <v>153</v>
      </c>
      <c r="C48" s="8" t="s">
        <v>45</v>
      </c>
      <c r="D48" s="9" t="s">
        <v>81</v>
      </c>
      <c r="E48" s="10" t="s">
        <v>158</v>
      </c>
      <c r="F48" s="8" t="n">
        <v>9</v>
      </c>
      <c r="G48" s="9" t="s">
        <v>160</v>
      </c>
      <c r="H48" s="8" t="n">
        <v>20</v>
      </c>
      <c r="I48" s="8" t="n">
        <f aca="false">ABS(F48-H48)</f>
        <v>11</v>
      </c>
      <c r="J48" s="11" t="n">
        <v>0.489</v>
      </c>
      <c r="K48" s="11" t="n">
        <v>0.254</v>
      </c>
      <c r="L48" s="11" t="n">
        <v>0.257</v>
      </c>
      <c r="M48" s="8" t="s">
        <v>61</v>
      </c>
      <c r="N48" s="10" t="s">
        <v>162</v>
      </c>
      <c r="O48" s="12" t="s">
        <v>158</v>
      </c>
      <c r="P48" s="8" t="s">
        <v>63</v>
      </c>
    </row>
    <row r="49" customFormat="false" ht="15" hidden="false" customHeight="false" outlineLevel="0" collapsed="false">
      <c r="A49" s="8" t="s">
        <v>157</v>
      </c>
      <c r="B49" s="8" t="s">
        <v>153</v>
      </c>
      <c r="C49" s="8" t="s">
        <v>64</v>
      </c>
      <c r="D49" s="9" t="s">
        <v>84</v>
      </c>
      <c r="E49" s="9" t="s">
        <v>161</v>
      </c>
      <c r="F49" s="8" t="n">
        <v>85</v>
      </c>
      <c r="G49" s="10" t="s">
        <v>159</v>
      </c>
      <c r="H49" s="8" t="n">
        <v>29</v>
      </c>
      <c r="I49" s="8" t="n">
        <f aca="false">ABS(F49-H49)</f>
        <v>56</v>
      </c>
      <c r="J49" s="11" t="n">
        <v>0.176</v>
      </c>
      <c r="K49" s="11" t="n">
        <v>0.232</v>
      </c>
      <c r="L49" s="11" t="n">
        <v>0.591</v>
      </c>
      <c r="M49" s="8" t="s">
        <v>68</v>
      </c>
      <c r="N49" s="10" t="s">
        <v>163</v>
      </c>
      <c r="O49" s="12" t="s">
        <v>159</v>
      </c>
      <c r="P49" s="8" t="s">
        <v>63</v>
      </c>
    </row>
    <row r="50" customFormat="false" ht="15" hidden="false" customHeight="false" outlineLevel="0" collapsed="false">
      <c r="A50" s="8" t="s">
        <v>157</v>
      </c>
      <c r="B50" s="8" t="s">
        <v>156</v>
      </c>
      <c r="C50" s="8" t="s">
        <v>99</v>
      </c>
      <c r="D50" s="9" t="s">
        <v>87</v>
      </c>
      <c r="E50" s="9" t="s">
        <v>159</v>
      </c>
      <c r="F50" s="8" t="n">
        <v>29</v>
      </c>
      <c r="G50" s="10" t="s">
        <v>160</v>
      </c>
      <c r="H50" s="8" t="n">
        <v>20</v>
      </c>
      <c r="I50" s="8" t="n">
        <f aca="false">ABS(F50-H50)</f>
        <v>9</v>
      </c>
      <c r="J50" s="11" t="n">
        <v>0.301</v>
      </c>
      <c r="K50" s="11" t="n">
        <v>0.26</v>
      </c>
      <c r="L50" s="11" t="n">
        <v>0.439</v>
      </c>
      <c r="M50" s="8" t="s">
        <v>61</v>
      </c>
      <c r="N50" s="10" t="s">
        <v>164</v>
      </c>
      <c r="O50" s="12" t="s">
        <v>160</v>
      </c>
      <c r="P50" s="8" t="s">
        <v>63</v>
      </c>
    </row>
    <row r="51" customFormat="false" ht="15" hidden="false" customHeight="false" outlineLevel="0" collapsed="false">
      <c r="A51" s="8" t="s">
        <v>157</v>
      </c>
      <c r="B51" s="8" t="s">
        <v>156</v>
      </c>
      <c r="C51" s="8" t="s">
        <v>99</v>
      </c>
      <c r="D51" s="9" t="s">
        <v>84</v>
      </c>
      <c r="E51" s="9" t="s">
        <v>161</v>
      </c>
      <c r="F51" s="8" t="n">
        <v>85</v>
      </c>
      <c r="G51" s="10" t="s">
        <v>158</v>
      </c>
      <c r="H51" s="8" t="n">
        <v>9</v>
      </c>
      <c r="I51" s="8" t="n">
        <f aca="false">ABS(F51-H51)</f>
        <v>76</v>
      </c>
      <c r="J51" s="11" t="n">
        <v>0.063</v>
      </c>
      <c r="K51" s="11" t="n">
        <v>0.164</v>
      </c>
      <c r="L51" s="11" t="n">
        <v>0.773</v>
      </c>
      <c r="M51" s="8" t="s">
        <v>165</v>
      </c>
      <c r="N51" s="10" t="s">
        <v>162</v>
      </c>
      <c r="O51" s="12" t="s">
        <v>158</v>
      </c>
      <c r="P51" s="8" t="s">
        <v>63</v>
      </c>
    </row>
    <row r="52" customFormat="false" ht="15" hidden="false" customHeight="false" outlineLevel="0" collapsed="false">
      <c r="A52" s="8" t="s">
        <v>166</v>
      </c>
      <c r="B52" s="8" t="s">
        <v>167</v>
      </c>
      <c r="C52" s="8" t="s">
        <v>45</v>
      </c>
      <c r="D52" s="9" t="s">
        <v>104</v>
      </c>
      <c r="E52" s="10" t="s">
        <v>168</v>
      </c>
      <c r="F52" s="8" t="n">
        <v>3</v>
      </c>
      <c r="G52" s="9" t="s">
        <v>169</v>
      </c>
      <c r="H52" s="8" t="n">
        <v>15</v>
      </c>
      <c r="I52" s="8" t="n">
        <f aca="false">ABS(F52-H52)</f>
        <v>12</v>
      </c>
      <c r="J52" s="11" t="n">
        <v>0.583</v>
      </c>
      <c r="K52" s="11" t="n">
        <v>0.234</v>
      </c>
      <c r="L52" s="11" t="n">
        <v>0.183</v>
      </c>
      <c r="M52" s="8" t="s">
        <v>170</v>
      </c>
      <c r="N52" s="10" t="s">
        <v>171</v>
      </c>
      <c r="O52" s="12" t="s">
        <v>168</v>
      </c>
      <c r="P52" s="13" t="s">
        <v>51</v>
      </c>
    </row>
    <row r="53" customFormat="false" ht="15" hidden="false" customHeight="false" outlineLevel="0" collapsed="false">
      <c r="A53" s="8" t="s">
        <v>166</v>
      </c>
      <c r="B53" s="8" t="s">
        <v>167</v>
      </c>
      <c r="C53" s="8" t="s">
        <v>83</v>
      </c>
      <c r="D53" s="9" t="s">
        <v>107</v>
      </c>
      <c r="E53" s="9" t="s">
        <v>172</v>
      </c>
      <c r="F53" s="8" t="n">
        <v>57</v>
      </c>
      <c r="G53" s="10" t="s">
        <v>173</v>
      </c>
      <c r="H53" s="8" t="n">
        <v>31</v>
      </c>
      <c r="I53" s="8" t="n">
        <f aca="false">ABS(F53-H53)</f>
        <v>26</v>
      </c>
      <c r="J53" s="11" t="n">
        <v>0.264</v>
      </c>
      <c r="K53" s="11" t="n">
        <v>0.255</v>
      </c>
      <c r="L53" s="11" t="n">
        <v>0.481</v>
      </c>
      <c r="M53" s="8" t="s">
        <v>61</v>
      </c>
      <c r="N53" s="10" t="s">
        <v>174</v>
      </c>
      <c r="O53" s="12" t="s">
        <v>173</v>
      </c>
      <c r="P53" s="8" t="s">
        <v>63</v>
      </c>
    </row>
    <row r="54" customFormat="false" ht="15" hidden="false" customHeight="false" outlineLevel="0" collapsed="false">
      <c r="A54" s="8" t="s">
        <v>166</v>
      </c>
      <c r="B54" s="8" t="s">
        <v>175</v>
      </c>
      <c r="C54" s="8" t="s">
        <v>176</v>
      </c>
      <c r="D54" s="9" t="s">
        <v>113</v>
      </c>
      <c r="E54" s="10" t="s">
        <v>168</v>
      </c>
      <c r="F54" s="8" t="n">
        <v>3</v>
      </c>
      <c r="G54" s="9" t="s">
        <v>172</v>
      </c>
      <c r="H54" s="8" t="n">
        <v>57</v>
      </c>
      <c r="I54" s="8" t="n">
        <f aca="false">ABS(F54-H54)</f>
        <v>54</v>
      </c>
      <c r="J54" s="11" t="n">
        <v>0.821</v>
      </c>
      <c r="K54" s="11" t="n">
        <v>0.14</v>
      </c>
      <c r="L54" s="11" t="n">
        <v>0.039</v>
      </c>
      <c r="M54" s="8" t="s">
        <v>49</v>
      </c>
      <c r="N54" s="10" t="s">
        <v>177</v>
      </c>
      <c r="O54" s="12" t="s">
        <v>168</v>
      </c>
      <c r="P54" s="8" t="s">
        <v>63</v>
      </c>
    </row>
    <row r="55" customFormat="false" ht="15" hidden="false" customHeight="false" outlineLevel="0" collapsed="false">
      <c r="A55" s="8" t="s">
        <v>166</v>
      </c>
      <c r="B55" s="8" t="s">
        <v>175</v>
      </c>
      <c r="C55" s="8" t="s">
        <v>131</v>
      </c>
      <c r="D55" s="9" t="s">
        <v>104</v>
      </c>
      <c r="E55" s="9" t="s">
        <v>173</v>
      </c>
      <c r="F55" s="8" t="n">
        <v>31</v>
      </c>
      <c r="G55" s="10" t="s">
        <v>169</v>
      </c>
      <c r="H55" s="8" t="n">
        <v>15</v>
      </c>
      <c r="I55" s="8" t="n">
        <f aca="false">ABS(F55-H55)</f>
        <v>16</v>
      </c>
      <c r="J55" s="11" t="n">
        <v>0.236</v>
      </c>
      <c r="K55" s="11" t="n">
        <v>0.25</v>
      </c>
      <c r="L55" s="11" t="n">
        <v>0.515</v>
      </c>
      <c r="M55" s="8" t="s">
        <v>68</v>
      </c>
      <c r="N55" s="10" t="s">
        <v>178</v>
      </c>
      <c r="O55" s="12" t="s">
        <v>169</v>
      </c>
      <c r="P55" s="8" t="s">
        <v>63</v>
      </c>
    </row>
    <row r="56" customFormat="false" ht="15" hidden="false" customHeight="false" outlineLevel="0" collapsed="false">
      <c r="A56" s="8" t="s">
        <v>166</v>
      </c>
      <c r="B56" s="8" t="s">
        <v>156</v>
      </c>
      <c r="C56" s="8" t="s">
        <v>45</v>
      </c>
      <c r="D56" s="9" t="s">
        <v>107</v>
      </c>
      <c r="E56" s="9" t="s">
        <v>173</v>
      </c>
      <c r="F56" s="8" t="n">
        <v>31</v>
      </c>
      <c r="G56" s="10" t="s">
        <v>168</v>
      </c>
      <c r="H56" s="8" t="n">
        <v>3</v>
      </c>
      <c r="I56" s="8" t="n">
        <f aca="false">ABS(F56-H56)</f>
        <v>28</v>
      </c>
      <c r="J56" s="11" t="n">
        <v>0.09</v>
      </c>
      <c r="K56" s="11" t="n">
        <v>0.186</v>
      </c>
      <c r="L56" s="11" t="n">
        <v>0.724</v>
      </c>
      <c r="M56" s="8" t="s">
        <v>165</v>
      </c>
      <c r="N56" s="10" t="s">
        <v>177</v>
      </c>
      <c r="O56" s="12" t="s">
        <v>168</v>
      </c>
      <c r="P56" s="8" t="s">
        <v>63</v>
      </c>
    </row>
    <row r="57" customFormat="false" ht="15" hidden="false" customHeight="false" outlineLevel="0" collapsed="false">
      <c r="A57" s="8" t="s">
        <v>166</v>
      </c>
      <c r="B57" s="8" t="s">
        <v>156</v>
      </c>
      <c r="C57" s="8" t="s">
        <v>45</v>
      </c>
      <c r="D57" s="9" t="s">
        <v>73</v>
      </c>
      <c r="E57" s="10" t="s">
        <v>169</v>
      </c>
      <c r="F57" s="8" t="n">
        <v>15</v>
      </c>
      <c r="G57" s="9" t="s">
        <v>172</v>
      </c>
      <c r="H57" s="8" t="n">
        <v>57</v>
      </c>
      <c r="I57" s="8" t="n">
        <f aca="false">ABS(F57-H57)</f>
        <v>42</v>
      </c>
      <c r="J57" s="11" t="n">
        <v>0.629</v>
      </c>
      <c r="K57" s="11" t="n">
        <v>0.221</v>
      </c>
      <c r="L57" s="11" t="n">
        <v>0.15</v>
      </c>
      <c r="M57" s="8" t="s">
        <v>65</v>
      </c>
      <c r="N57" s="10" t="s">
        <v>178</v>
      </c>
      <c r="O57" s="12" t="s">
        <v>169</v>
      </c>
      <c r="P57" s="8" t="s">
        <v>63</v>
      </c>
    </row>
    <row r="58" customFormat="false" ht="15" hidden="false" customHeight="false" outlineLevel="0" collapsed="false">
      <c r="A58" s="8" t="s">
        <v>179</v>
      </c>
      <c r="B58" s="8" t="s">
        <v>180</v>
      </c>
      <c r="C58" s="8" t="s">
        <v>129</v>
      </c>
      <c r="D58" s="9" t="s">
        <v>136</v>
      </c>
      <c r="E58" s="10" t="s">
        <v>181</v>
      </c>
      <c r="F58" s="8" t="n">
        <v>4</v>
      </c>
      <c r="G58" s="9" t="s">
        <v>182</v>
      </c>
      <c r="H58" s="8" t="n">
        <v>11</v>
      </c>
      <c r="I58" s="8" t="n">
        <f aca="false">ABS(F58-H58)</f>
        <v>7</v>
      </c>
      <c r="J58" s="11" t="n">
        <v>0.488</v>
      </c>
      <c r="K58" s="11" t="n">
        <v>0.254</v>
      </c>
      <c r="L58" s="11" t="n">
        <v>0.258</v>
      </c>
      <c r="M58" s="8" t="s">
        <v>61</v>
      </c>
      <c r="N58" s="10" t="s">
        <v>183</v>
      </c>
      <c r="O58" s="12" t="s">
        <v>181</v>
      </c>
      <c r="P58" s="8" t="s">
        <v>63</v>
      </c>
    </row>
    <row r="59" customFormat="false" ht="15" hidden="false" customHeight="false" outlineLevel="0" collapsed="false">
      <c r="A59" s="8" t="s">
        <v>179</v>
      </c>
      <c r="B59" s="8" t="s">
        <v>180</v>
      </c>
      <c r="C59" s="8" t="s">
        <v>124</v>
      </c>
      <c r="D59" s="9" t="s">
        <v>73</v>
      </c>
      <c r="E59" s="9" t="s">
        <v>184</v>
      </c>
      <c r="F59" s="8" t="n">
        <v>73</v>
      </c>
      <c r="G59" s="10" t="s">
        <v>185</v>
      </c>
      <c r="H59" s="8" t="n">
        <v>34</v>
      </c>
      <c r="I59" s="8" t="n">
        <f aca="false">ABS(F59-H59)</f>
        <v>39</v>
      </c>
      <c r="J59" s="11" t="n">
        <v>0.235</v>
      </c>
      <c r="K59" s="11" t="n">
        <v>0.25</v>
      </c>
      <c r="L59" s="11" t="n">
        <v>0.516</v>
      </c>
      <c r="M59" s="8" t="s">
        <v>68</v>
      </c>
      <c r="N59" s="10" t="s">
        <v>186</v>
      </c>
      <c r="O59" s="12" t="s">
        <v>185</v>
      </c>
      <c r="P59" s="8" t="s">
        <v>63</v>
      </c>
    </row>
    <row r="60" customFormat="false" ht="15" hidden="false" customHeight="false" outlineLevel="0" collapsed="false">
      <c r="A60" s="8" t="s">
        <v>179</v>
      </c>
      <c r="B60" s="8" t="s">
        <v>187</v>
      </c>
      <c r="C60" s="8" t="s">
        <v>129</v>
      </c>
      <c r="D60" s="9" t="s">
        <v>107</v>
      </c>
      <c r="E60" s="10" t="s">
        <v>181</v>
      </c>
      <c r="F60" s="8" t="n">
        <v>4</v>
      </c>
      <c r="G60" s="9" t="s">
        <v>184</v>
      </c>
      <c r="H60" s="8" t="n">
        <v>73</v>
      </c>
      <c r="I60" s="8" t="n">
        <f aca="false">ABS(F60-H60)</f>
        <v>69</v>
      </c>
      <c r="J60" s="11" t="n">
        <v>0.821</v>
      </c>
      <c r="K60" s="11" t="n">
        <v>0.14</v>
      </c>
      <c r="L60" s="11" t="n">
        <v>0.039</v>
      </c>
      <c r="M60" s="8" t="s">
        <v>49</v>
      </c>
      <c r="N60" s="10" t="s">
        <v>183</v>
      </c>
      <c r="O60" s="12" t="s">
        <v>181</v>
      </c>
      <c r="P60" s="8" t="s">
        <v>63</v>
      </c>
    </row>
    <row r="61" customFormat="false" ht="15" hidden="false" customHeight="false" outlineLevel="0" collapsed="false">
      <c r="A61" s="8" t="s">
        <v>179</v>
      </c>
      <c r="B61" s="8" t="s">
        <v>187</v>
      </c>
      <c r="C61" s="8" t="s">
        <v>124</v>
      </c>
      <c r="D61" s="9" t="s">
        <v>73</v>
      </c>
      <c r="E61" s="9" t="s">
        <v>185</v>
      </c>
      <c r="F61" s="8" t="n">
        <v>34</v>
      </c>
      <c r="G61" s="10" t="s">
        <v>182</v>
      </c>
      <c r="H61" s="8" t="n">
        <v>11</v>
      </c>
      <c r="I61" s="8" t="n">
        <f aca="false">ABS(F61-H61)</f>
        <v>23</v>
      </c>
      <c r="J61" s="11" t="n">
        <v>0.189</v>
      </c>
      <c r="K61" s="11" t="n">
        <v>0.237</v>
      </c>
      <c r="L61" s="11" t="n">
        <v>0.575</v>
      </c>
      <c r="M61" s="8" t="s">
        <v>68</v>
      </c>
      <c r="N61" s="10" t="s">
        <v>188</v>
      </c>
      <c r="O61" s="12" t="s">
        <v>182</v>
      </c>
      <c r="P61" s="8" t="s">
        <v>63</v>
      </c>
    </row>
    <row r="62" customFormat="false" ht="15" hidden="false" customHeight="false" outlineLevel="0" collapsed="false">
      <c r="A62" s="8" t="s">
        <v>179</v>
      </c>
      <c r="B62" s="8" t="s">
        <v>189</v>
      </c>
      <c r="C62" s="8" t="s">
        <v>176</v>
      </c>
      <c r="D62" s="9" t="s">
        <v>113</v>
      </c>
      <c r="E62" s="10" t="s">
        <v>182</v>
      </c>
      <c r="F62" s="8" t="n">
        <v>11</v>
      </c>
      <c r="G62" s="9" t="s">
        <v>184</v>
      </c>
      <c r="H62" s="8" t="n">
        <v>73</v>
      </c>
      <c r="I62" s="8" t="n">
        <f aca="false">ABS(F62-H62)</f>
        <v>62</v>
      </c>
      <c r="J62" s="11" t="n">
        <v>0.718</v>
      </c>
      <c r="K62" s="11" t="n">
        <v>0.189</v>
      </c>
      <c r="L62" s="11" t="n">
        <v>0.093</v>
      </c>
      <c r="M62" s="8" t="s">
        <v>49</v>
      </c>
      <c r="N62" s="10" t="s">
        <v>188</v>
      </c>
      <c r="O62" s="12" t="s">
        <v>182</v>
      </c>
      <c r="P62" s="8" t="s">
        <v>63</v>
      </c>
    </row>
    <row r="63" customFormat="false" ht="15" hidden="false" customHeight="false" outlineLevel="0" collapsed="false">
      <c r="A63" s="8" t="s">
        <v>179</v>
      </c>
      <c r="B63" s="8" t="s">
        <v>189</v>
      </c>
      <c r="C63" s="8" t="s">
        <v>176</v>
      </c>
      <c r="D63" s="9" t="s">
        <v>104</v>
      </c>
      <c r="E63" s="9" t="s">
        <v>185</v>
      </c>
      <c r="F63" s="8" t="n">
        <v>34</v>
      </c>
      <c r="G63" s="10" t="s">
        <v>181</v>
      </c>
      <c r="H63" s="8" t="n">
        <v>4</v>
      </c>
      <c r="I63" s="8" t="n">
        <f aca="false">ABS(F63-H63)</f>
        <v>30</v>
      </c>
      <c r="J63" s="11" t="n">
        <v>0.109</v>
      </c>
      <c r="K63" s="11" t="n">
        <v>0.199</v>
      </c>
      <c r="L63" s="11" t="n">
        <v>0.693</v>
      </c>
      <c r="M63" s="8" t="s">
        <v>68</v>
      </c>
      <c r="N63" s="10" t="s">
        <v>183</v>
      </c>
      <c r="O63" s="12" t="s">
        <v>181</v>
      </c>
      <c r="P63" s="8" t="s">
        <v>63</v>
      </c>
    </row>
    <row r="64" customFormat="false" ht="15" hidden="false" customHeight="false" outlineLevel="0" collapsed="false">
      <c r="A64" s="8" t="s">
        <v>190</v>
      </c>
      <c r="B64" s="8" t="s">
        <v>180</v>
      </c>
      <c r="C64" s="8" t="s">
        <v>118</v>
      </c>
      <c r="D64" s="9" t="s">
        <v>119</v>
      </c>
      <c r="E64" s="10" t="s">
        <v>191</v>
      </c>
      <c r="F64" s="8" t="n">
        <v>5</v>
      </c>
      <c r="G64" s="9" t="s">
        <v>192</v>
      </c>
      <c r="H64" s="8" t="n">
        <v>46</v>
      </c>
      <c r="I64" s="8" t="n">
        <f aca="false">ABS(F64-H64)</f>
        <v>41</v>
      </c>
      <c r="J64" s="11" t="n">
        <v>0.682</v>
      </c>
      <c r="K64" s="11" t="n">
        <v>0.203</v>
      </c>
      <c r="L64" s="11" t="n">
        <v>0.115</v>
      </c>
      <c r="M64" s="8" t="s">
        <v>65</v>
      </c>
      <c r="N64" s="10" t="s">
        <v>193</v>
      </c>
      <c r="O64" s="12" t="s">
        <v>191</v>
      </c>
      <c r="P64" s="8" t="s">
        <v>63</v>
      </c>
    </row>
    <row r="65" customFormat="false" ht="15" hidden="false" customHeight="false" outlineLevel="0" collapsed="false">
      <c r="A65" s="8" t="s">
        <v>190</v>
      </c>
      <c r="B65" s="8" t="s">
        <v>180</v>
      </c>
      <c r="C65" s="8" t="s">
        <v>52</v>
      </c>
      <c r="D65" s="9" t="s">
        <v>46</v>
      </c>
      <c r="E65" s="9" t="s">
        <v>194</v>
      </c>
      <c r="F65" s="8" t="n">
        <v>50</v>
      </c>
      <c r="G65" s="10" t="s">
        <v>195</v>
      </c>
      <c r="H65" s="8" t="n">
        <v>13</v>
      </c>
      <c r="I65" s="8" t="n">
        <f aca="false">ABS(F65-H65)</f>
        <v>37</v>
      </c>
      <c r="J65" s="11" t="n">
        <v>0.156</v>
      </c>
      <c r="K65" s="11" t="n">
        <v>0.224</v>
      </c>
      <c r="L65" s="11" t="n">
        <v>0.62</v>
      </c>
      <c r="M65" s="8" t="s">
        <v>68</v>
      </c>
      <c r="N65" s="10" t="s">
        <v>196</v>
      </c>
      <c r="O65" s="12" t="s">
        <v>195</v>
      </c>
      <c r="P65" s="8" t="s">
        <v>63</v>
      </c>
    </row>
    <row r="66" customFormat="false" ht="15" hidden="false" customHeight="false" outlineLevel="0" collapsed="false">
      <c r="A66" s="8" t="s">
        <v>190</v>
      </c>
      <c r="B66" s="8" t="s">
        <v>187</v>
      </c>
      <c r="C66" s="8" t="s">
        <v>118</v>
      </c>
      <c r="D66" s="9" t="s">
        <v>119</v>
      </c>
      <c r="E66" s="10" t="s">
        <v>191</v>
      </c>
      <c r="F66" s="8" t="n">
        <v>5</v>
      </c>
      <c r="G66" s="9" t="s">
        <v>194</v>
      </c>
      <c r="H66" s="8" t="n">
        <v>50</v>
      </c>
      <c r="I66" s="8" t="n">
        <f aca="false">ABS(F66-H66)</f>
        <v>45</v>
      </c>
      <c r="J66" s="11" t="n">
        <v>0.696</v>
      </c>
      <c r="K66" s="11" t="n">
        <v>0.198</v>
      </c>
      <c r="L66" s="11" t="n">
        <v>0.107</v>
      </c>
      <c r="M66" s="8" t="s">
        <v>65</v>
      </c>
      <c r="N66" s="10" t="s">
        <v>193</v>
      </c>
      <c r="O66" s="12" t="s">
        <v>191</v>
      </c>
      <c r="P66" s="8" t="s">
        <v>63</v>
      </c>
    </row>
    <row r="67" customFormat="false" ht="15" hidden="false" customHeight="false" outlineLevel="0" collapsed="false">
      <c r="A67" s="8" t="s">
        <v>190</v>
      </c>
      <c r="B67" s="8" t="s">
        <v>187</v>
      </c>
      <c r="C67" s="8" t="s">
        <v>52</v>
      </c>
      <c r="D67" s="9" t="s">
        <v>53</v>
      </c>
      <c r="E67" s="10" t="s">
        <v>195</v>
      </c>
      <c r="F67" s="8" t="n">
        <v>13</v>
      </c>
      <c r="G67" s="9" t="s">
        <v>192</v>
      </c>
      <c r="H67" s="8" t="n">
        <v>46</v>
      </c>
      <c r="I67" s="8" t="n">
        <f aca="false">ABS(F67-H67)</f>
        <v>33</v>
      </c>
      <c r="J67" s="11" t="n">
        <v>0.606</v>
      </c>
      <c r="K67" s="11" t="n">
        <v>0.228</v>
      </c>
      <c r="L67" s="11" t="n">
        <v>0.166</v>
      </c>
      <c r="M67" s="8" t="s">
        <v>65</v>
      </c>
      <c r="N67" s="10" t="s">
        <v>196</v>
      </c>
      <c r="O67" s="12" t="s">
        <v>195</v>
      </c>
      <c r="P67" s="8" t="s">
        <v>63</v>
      </c>
    </row>
    <row r="68" customFormat="false" ht="15" hidden="false" customHeight="false" outlineLevel="0" collapsed="false">
      <c r="A68" s="8" t="s">
        <v>190</v>
      </c>
      <c r="B68" s="8" t="s">
        <v>189</v>
      </c>
      <c r="C68" s="8" t="s">
        <v>197</v>
      </c>
      <c r="D68" s="9" t="s">
        <v>115</v>
      </c>
      <c r="E68" s="9" t="s">
        <v>195</v>
      </c>
      <c r="F68" s="8" t="n">
        <v>13</v>
      </c>
      <c r="G68" s="10" t="s">
        <v>191</v>
      </c>
      <c r="H68" s="8" t="n">
        <v>5</v>
      </c>
      <c r="I68" s="8" t="n">
        <f aca="false">ABS(F68-H68)</f>
        <v>8</v>
      </c>
      <c r="J68" s="11" t="n">
        <v>0.295</v>
      </c>
      <c r="K68" s="11" t="n">
        <v>0.26</v>
      </c>
      <c r="L68" s="11" t="n">
        <v>0.445</v>
      </c>
      <c r="M68" s="8" t="s">
        <v>61</v>
      </c>
      <c r="N68" s="10" t="s">
        <v>193</v>
      </c>
      <c r="O68" s="12" t="s">
        <v>191</v>
      </c>
      <c r="P68" s="8" t="s">
        <v>63</v>
      </c>
    </row>
    <row r="69" customFormat="false" ht="15" hidden="false" customHeight="false" outlineLevel="0" collapsed="false">
      <c r="A69" s="8" t="s">
        <v>190</v>
      </c>
      <c r="B69" s="8" t="s">
        <v>189</v>
      </c>
      <c r="C69" s="8" t="s">
        <v>197</v>
      </c>
      <c r="D69" s="9" t="s">
        <v>60</v>
      </c>
      <c r="E69" s="9" t="s">
        <v>192</v>
      </c>
      <c r="F69" s="8" t="n">
        <v>46</v>
      </c>
      <c r="G69" s="9" t="s">
        <v>194</v>
      </c>
      <c r="H69" s="8" t="n">
        <v>50</v>
      </c>
      <c r="I69" s="8" t="n">
        <f aca="false">ABS(F69-H69)</f>
        <v>4</v>
      </c>
      <c r="J69" s="11" t="n">
        <v>0.382</v>
      </c>
      <c r="K69" s="11" t="n">
        <v>0.264</v>
      </c>
      <c r="L69" s="11" t="n">
        <v>0.354</v>
      </c>
      <c r="M69" s="14" t="s">
        <v>61</v>
      </c>
      <c r="N69" s="15" t="s">
        <v>86</v>
      </c>
      <c r="O69" s="14" t="s">
        <v>76</v>
      </c>
      <c r="P69" s="8" t="s">
        <v>63</v>
      </c>
    </row>
    <row r="70" customFormat="false" ht="15" hidden="false" customHeight="false" outlineLevel="0" collapsed="false">
      <c r="A70" s="8" t="s">
        <v>198</v>
      </c>
      <c r="B70" s="8" t="s">
        <v>167</v>
      </c>
      <c r="C70" s="8" t="s">
        <v>64</v>
      </c>
      <c r="D70" s="9" t="s">
        <v>132</v>
      </c>
      <c r="E70" s="10" t="s">
        <v>199</v>
      </c>
      <c r="F70" s="8" t="n">
        <v>1</v>
      </c>
      <c r="G70" s="9" t="s">
        <v>200</v>
      </c>
      <c r="H70" s="8" t="n">
        <v>28</v>
      </c>
      <c r="I70" s="8" t="n">
        <f aca="false">ABS(F70-H70)</f>
        <v>27</v>
      </c>
      <c r="J70" s="11" t="n">
        <v>0.708</v>
      </c>
      <c r="K70" s="11" t="n">
        <v>0.193</v>
      </c>
      <c r="L70" s="11" t="n">
        <v>0.099</v>
      </c>
      <c r="M70" s="8" t="s">
        <v>201</v>
      </c>
      <c r="N70" s="10" t="s">
        <v>202</v>
      </c>
      <c r="O70" s="12" t="s">
        <v>199</v>
      </c>
      <c r="P70" s="13" t="s">
        <v>51</v>
      </c>
    </row>
    <row r="71" customFormat="false" ht="15" hidden="false" customHeight="false" outlineLevel="0" collapsed="false">
      <c r="A71" s="8" t="s">
        <v>198</v>
      </c>
      <c r="B71" s="8" t="s">
        <v>167</v>
      </c>
      <c r="C71" s="8" t="s">
        <v>93</v>
      </c>
      <c r="D71" s="9" t="s">
        <v>78</v>
      </c>
      <c r="E71" s="10" t="s">
        <v>203</v>
      </c>
      <c r="F71" s="8" t="n">
        <v>24</v>
      </c>
      <c r="G71" s="9" t="s">
        <v>204</v>
      </c>
      <c r="H71" s="8" t="n">
        <v>63</v>
      </c>
      <c r="I71" s="8" t="n">
        <f aca="false">ABS(F71-H71)</f>
        <v>39</v>
      </c>
      <c r="J71" s="11" t="n">
        <v>0.549</v>
      </c>
      <c r="K71" s="11" t="n">
        <v>0.243</v>
      </c>
      <c r="L71" s="11" t="n">
        <v>0.208</v>
      </c>
      <c r="M71" s="8" t="s">
        <v>65</v>
      </c>
      <c r="N71" s="10" t="s">
        <v>205</v>
      </c>
      <c r="O71" s="12" t="s">
        <v>203</v>
      </c>
      <c r="P71" s="8" t="s">
        <v>63</v>
      </c>
    </row>
    <row r="72" customFormat="false" ht="15" hidden="false" customHeight="false" outlineLevel="0" collapsed="false">
      <c r="A72" s="8" t="s">
        <v>198</v>
      </c>
      <c r="B72" s="8" t="s">
        <v>175</v>
      </c>
      <c r="C72" s="8" t="s">
        <v>118</v>
      </c>
      <c r="D72" s="9" t="s">
        <v>136</v>
      </c>
      <c r="E72" s="10" t="s">
        <v>199</v>
      </c>
      <c r="F72" s="8" t="n">
        <v>1</v>
      </c>
      <c r="G72" s="9" t="s">
        <v>203</v>
      </c>
      <c r="H72" s="8" t="n">
        <v>24</v>
      </c>
      <c r="I72" s="8" t="n">
        <f aca="false">ABS(F72-H72)</f>
        <v>23</v>
      </c>
      <c r="J72" s="11" t="n">
        <v>0.683</v>
      </c>
      <c r="K72" s="11" t="n">
        <v>0.202</v>
      </c>
      <c r="L72" s="11" t="n">
        <v>0.114</v>
      </c>
      <c r="M72" s="8" t="s">
        <v>65</v>
      </c>
      <c r="N72" s="10" t="s">
        <v>206</v>
      </c>
      <c r="O72" s="12" t="s">
        <v>199</v>
      </c>
      <c r="P72" s="8" t="s">
        <v>63</v>
      </c>
    </row>
    <row r="73" customFormat="false" ht="15" hidden="false" customHeight="false" outlineLevel="0" collapsed="false">
      <c r="A73" s="8" t="s">
        <v>198</v>
      </c>
      <c r="B73" s="8" t="s">
        <v>175</v>
      </c>
      <c r="C73" s="8" t="s">
        <v>99</v>
      </c>
      <c r="D73" s="9" t="s">
        <v>78</v>
      </c>
      <c r="E73" s="9" t="s">
        <v>204</v>
      </c>
      <c r="F73" s="8" t="n">
        <v>63</v>
      </c>
      <c r="G73" s="10" t="s">
        <v>200</v>
      </c>
      <c r="H73" s="8" t="n">
        <v>28</v>
      </c>
      <c r="I73" s="8" t="n">
        <f aca="false">ABS(F73-H73)</f>
        <v>35</v>
      </c>
      <c r="J73" s="11" t="n">
        <v>0.229</v>
      </c>
      <c r="K73" s="11" t="n">
        <v>0.248</v>
      </c>
      <c r="L73" s="11" t="n">
        <v>0.522</v>
      </c>
      <c r="M73" s="8" t="s">
        <v>68</v>
      </c>
      <c r="N73" s="10" t="s">
        <v>207</v>
      </c>
      <c r="O73" s="12" t="s">
        <v>200</v>
      </c>
      <c r="P73" s="8" t="s">
        <v>63</v>
      </c>
    </row>
    <row r="74" customFormat="false" ht="15" hidden="false" customHeight="false" outlineLevel="0" collapsed="false">
      <c r="A74" s="8" t="s">
        <v>198</v>
      </c>
      <c r="B74" s="8" t="s">
        <v>189</v>
      </c>
      <c r="C74" s="8" t="s">
        <v>52</v>
      </c>
      <c r="D74" s="9" t="s">
        <v>132</v>
      </c>
      <c r="E74" s="9" t="s">
        <v>200</v>
      </c>
      <c r="F74" s="8" t="n">
        <v>28</v>
      </c>
      <c r="G74" s="9" t="s">
        <v>203</v>
      </c>
      <c r="H74" s="8" t="n">
        <v>24</v>
      </c>
      <c r="I74" s="8" t="n">
        <f aca="false">ABS(F74-H74)</f>
        <v>4</v>
      </c>
      <c r="J74" s="11" t="n">
        <v>0.343</v>
      </c>
      <c r="K74" s="11" t="n">
        <v>0.263</v>
      </c>
      <c r="L74" s="11" t="n">
        <v>0.394</v>
      </c>
      <c r="M74" s="14" t="s">
        <v>61</v>
      </c>
      <c r="N74" s="15" t="s">
        <v>86</v>
      </c>
      <c r="O74" s="14" t="s">
        <v>76</v>
      </c>
      <c r="P74" s="8" t="s">
        <v>63</v>
      </c>
    </row>
    <row r="75" customFormat="false" ht="15" hidden="false" customHeight="false" outlineLevel="0" collapsed="false">
      <c r="A75" s="8" t="s">
        <v>198</v>
      </c>
      <c r="B75" s="8" t="s">
        <v>189</v>
      </c>
      <c r="C75" s="8" t="s">
        <v>52</v>
      </c>
      <c r="D75" s="9" t="s">
        <v>136</v>
      </c>
      <c r="E75" s="9" t="s">
        <v>204</v>
      </c>
      <c r="F75" s="8" t="n">
        <v>63</v>
      </c>
      <c r="G75" s="10" t="s">
        <v>199</v>
      </c>
      <c r="H75" s="8" t="n">
        <v>1</v>
      </c>
      <c r="I75" s="8" t="n">
        <f aca="false">ABS(F75-H75)</f>
        <v>62</v>
      </c>
      <c r="J75" s="11" t="n">
        <v>0.031</v>
      </c>
      <c r="K75" s="11" t="n">
        <v>0.13</v>
      </c>
      <c r="L75" s="11" t="n">
        <v>0.839</v>
      </c>
      <c r="M75" s="8" t="s">
        <v>165</v>
      </c>
      <c r="N75" s="10" t="s">
        <v>206</v>
      </c>
      <c r="O75" s="12" t="s">
        <v>199</v>
      </c>
      <c r="P75" s="8" t="s">
        <v>63</v>
      </c>
    </row>
  </sheetData>
  <autoFilter ref="A3:P75"/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7"/>
    <col collapsed="false" customWidth="true" hidden="false" outlineLevel="0" max="4" min="4" style="0" width="17"/>
    <col collapsed="false" customWidth="true" hidden="false" outlineLevel="0" max="7" min="5" style="0" width="13"/>
  </cols>
  <sheetData>
    <row r="1" customFormat="false" ht="17.35" hidden="false" customHeight="false" outlineLevel="0" collapsed="false">
      <c r="A1" s="6" t="s">
        <v>208</v>
      </c>
      <c r="B1" s="6"/>
      <c r="C1" s="6"/>
      <c r="D1" s="6"/>
      <c r="E1" s="6"/>
      <c r="F1" s="6"/>
      <c r="G1" s="6"/>
    </row>
    <row r="3" customFormat="false" ht="15" hidden="false" customHeight="false" outlineLevel="0" collapsed="false">
      <c r="A3" s="7" t="s">
        <v>27</v>
      </c>
      <c r="B3" s="7" t="s">
        <v>209</v>
      </c>
      <c r="C3" s="7" t="s">
        <v>210</v>
      </c>
      <c r="D3" s="7" t="s">
        <v>211</v>
      </c>
      <c r="E3" s="7" t="s">
        <v>212</v>
      </c>
      <c r="F3" s="7" t="s">
        <v>213</v>
      </c>
      <c r="G3" s="7" t="s">
        <v>213</v>
      </c>
    </row>
    <row r="4" customFormat="false" ht="15" hidden="false" customHeight="false" outlineLevel="0" collapsed="false">
      <c r="A4" s="8" t="s">
        <v>43</v>
      </c>
      <c r="B4" s="10" t="s">
        <v>47</v>
      </c>
      <c r="C4" s="8" t="n">
        <v>14</v>
      </c>
      <c r="D4" s="11" t="n">
        <v>0.698</v>
      </c>
      <c r="E4" s="11" t="n">
        <v>0.938</v>
      </c>
      <c r="F4" s="11" t="n">
        <v>0.993</v>
      </c>
      <c r="G4" s="16" t="n">
        <v>0.993</v>
      </c>
    </row>
    <row r="5" customFormat="false" ht="15" hidden="false" customHeight="false" outlineLevel="0" collapsed="false">
      <c r="A5" s="8" t="s">
        <v>43</v>
      </c>
      <c r="B5" s="10" t="s">
        <v>54</v>
      </c>
      <c r="C5" s="8" t="n">
        <v>25</v>
      </c>
      <c r="D5" s="11" t="n">
        <v>0.269</v>
      </c>
      <c r="E5" s="11" t="n">
        <v>0.8</v>
      </c>
      <c r="F5" s="11" t="n">
        <v>0.938</v>
      </c>
      <c r="G5" s="16" t="n">
        <v>0.938</v>
      </c>
    </row>
    <row r="6" customFormat="false" ht="15" hidden="false" customHeight="false" outlineLevel="0" collapsed="false">
      <c r="A6" s="8" t="s">
        <v>43</v>
      </c>
      <c r="B6" s="15" t="s">
        <v>55</v>
      </c>
      <c r="C6" s="8" t="n">
        <v>40</v>
      </c>
      <c r="D6" s="11" t="n">
        <v>0.023</v>
      </c>
      <c r="E6" s="11" t="n">
        <v>0.137</v>
      </c>
      <c r="F6" s="11" t="n">
        <v>0.431</v>
      </c>
      <c r="G6" s="17" t="n">
        <v>0.431</v>
      </c>
    </row>
    <row r="7" customFormat="false" ht="15" hidden="false" customHeight="false" outlineLevel="0" collapsed="false">
      <c r="A7" s="8" t="s">
        <v>43</v>
      </c>
      <c r="B7" s="15" t="s">
        <v>48</v>
      </c>
      <c r="C7" s="8" t="n">
        <v>60</v>
      </c>
      <c r="D7" s="11" t="n">
        <v>0.01</v>
      </c>
      <c r="E7" s="11" t="n">
        <v>0.124</v>
      </c>
      <c r="F7" s="11" t="n">
        <v>0.308</v>
      </c>
      <c r="G7" s="17" t="n">
        <v>0.308</v>
      </c>
    </row>
    <row r="8" customFormat="false" ht="15" hidden="false" customHeight="false" outlineLevel="0" collapsed="false">
      <c r="A8" s="8" t="s">
        <v>71</v>
      </c>
      <c r="B8" s="10" t="s">
        <v>80</v>
      </c>
      <c r="C8" s="8" t="n">
        <v>19</v>
      </c>
      <c r="D8" s="11" t="n">
        <v>0.415</v>
      </c>
      <c r="E8" s="11" t="n">
        <v>0.685</v>
      </c>
      <c r="F8" s="11" t="n">
        <v>0.823</v>
      </c>
      <c r="G8" s="16" t="n">
        <v>0.823</v>
      </c>
    </row>
    <row r="9" customFormat="false" ht="15" hidden="false" customHeight="false" outlineLevel="0" collapsed="false">
      <c r="A9" s="8" t="s">
        <v>71</v>
      </c>
      <c r="B9" s="10" t="s">
        <v>74</v>
      </c>
      <c r="C9" s="8" t="n">
        <v>30</v>
      </c>
      <c r="D9" s="11" t="n">
        <v>0.331</v>
      </c>
      <c r="E9" s="11" t="n">
        <v>0.599</v>
      </c>
      <c r="F9" s="11" t="n">
        <v>0.761</v>
      </c>
      <c r="G9" s="16" t="n">
        <v>0.761</v>
      </c>
    </row>
    <row r="10" customFormat="false" ht="15" hidden="false" customHeight="false" outlineLevel="0" collapsed="false">
      <c r="A10" s="8" t="s">
        <v>71</v>
      </c>
      <c r="B10" s="10" t="s">
        <v>79</v>
      </c>
      <c r="C10" s="8" t="n">
        <v>56</v>
      </c>
      <c r="D10" s="11" t="n">
        <v>0.144</v>
      </c>
      <c r="E10" s="11" t="n">
        <v>0.396</v>
      </c>
      <c r="F10" s="11" t="n">
        <v>0.577</v>
      </c>
      <c r="G10" s="16" t="n">
        <v>0.577</v>
      </c>
    </row>
    <row r="11" customFormat="false" ht="15" hidden="false" customHeight="false" outlineLevel="0" collapsed="false">
      <c r="A11" s="8" t="s">
        <v>71</v>
      </c>
      <c r="B11" s="15" t="s">
        <v>75</v>
      </c>
      <c r="C11" s="8" t="n">
        <v>64</v>
      </c>
      <c r="D11" s="11" t="n">
        <v>0.111</v>
      </c>
      <c r="E11" s="11" t="n">
        <v>0.32</v>
      </c>
      <c r="F11" s="11" t="n">
        <v>0.499</v>
      </c>
      <c r="G11" s="17" t="n">
        <v>0.499</v>
      </c>
    </row>
    <row r="12" customFormat="false" ht="15" hidden="false" customHeight="false" outlineLevel="0" collapsed="false">
      <c r="A12" s="8" t="s">
        <v>88</v>
      </c>
      <c r="B12" s="10" t="s">
        <v>89</v>
      </c>
      <c r="C12" s="8" t="n">
        <v>17</v>
      </c>
      <c r="D12" s="11" t="n">
        <v>0.696</v>
      </c>
      <c r="E12" s="11" t="n">
        <v>0.926</v>
      </c>
      <c r="F12" s="11" t="n">
        <v>0.993</v>
      </c>
      <c r="G12" s="16" t="n">
        <v>0.993</v>
      </c>
    </row>
    <row r="13" customFormat="false" ht="15" hidden="false" customHeight="false" outlineLevel="0" collapsed="false">
      <c r="A13" s="8" t="s">
        <v>88</v>
      </c>
      <c r="B13" s="10" t="s">
        <v>94</v>
      </c>
      <c r="C13" s="8" t="n">
        <v>27</v>
      </c>
      <c r="D13" s="11" t="n">
        <v>0.269</v>
      </c>
      <c r="E13" s="11" t="n">
        <v>0.8</v>
      </c>
      <c r="F13" s="11" t="n">
        <v>0.949</v>
      </c>
      <c r="G13" s="16" t="n">
        <v>0.949</v>
      </c>
    </row>
    <row r="14" customFormat="false" ht="15" hidden="false" customHeight="false" outlineLevel="0" collapsed="false">
      <c r="A14" s="8" t="s">
        <v>88</v>
      </c>
      <c r="B14" s="15" t="s">
        <v>95</v>
      </c>
      <c r="C14" s="8" t="n">
        <v>22</v>
      </c>
      <c r="D14" s="11" t="n">
        <v>0.025</v>
      </c>
      <c r="E14" s="11" t="n">
        <v>0.158</v>
      </c>
      <c r="F14" s="11" t="n">
        <v>0.465</v>
      </c>
      <c r="G14" s="17" t="n">
        <v>0.465</v>
      </c>
    </row>
    <row r="15" customFormat="false" ht="15" hidden="false" customHeight="false" outlineLevel="0" collapsed="false">
      <c r="A15" s="8" t="s">
        <v>88</v>
      </c>
      <c r="B15" s="15" t="s">
        <v>90</v>
      </c>
      <c r="C15" s="8" t="n">
        <v>41</v>
      </c>
      <c r="D15" s="11" t="n">
        <v>0.01</v>
      </c>
      <c r="E15" s="11" t="n">
        <v>0.116</v>
      </c>
      <c r="F15" s="11" t="n">
        <v>0.288</v>
      </c>
      <c r="G15" s="17" t="n">
        <v>0.288</v>
      </c>
    </row>
    <row r="16" customFormat="false" ht="15" hidden="false" customHeight="false" outlineLevel="0" collapsed="false">
      <c r="A16" s="8" t="s">
        <v>103</v>
      </c>
      <c r="B16" s="10" t="s">
        <v>105</v>
      </c>
      <c r="C16" s="8" t="n">
        <v>6</v>
      </c>
      <c r="D16" s="11" t="n">
        <v>0.447</v>
      </c>
      <c r="E16" s="11" t="n">
        <v>0.838</v>
      </c>
      <c r="F16" s="11" t="n">
        <v>0.96</v>
      </c>
      <c r="G16" s="16" t="n">
        <v>0.96</v>
      </c>
    </row>
    <row r="17" customFormat="false" ht="15" hidden="false" customHeight="false" outlineLevel="0" collapsed="false">
      <c r="A17" s="8" t="s">
        <v>103</v>
      </c>
      <c r="B17" s="10" t="s">
        <v>106</v>
      </c>
      <c r="C17" s="8" t="n">
        <v>7</v>
      </c>
      <c r="D17" s="11" t="n">
        <v>0.441</v>
      </c>
      <c r="E17" s="11" t="n">
        <v>0.833</v>
      </c>
      <c r="F17" s="11" t="n">
        <v>0.959</v>
      </c>
      <c r="G17" s="16" t="n">
        <v>0.959</v>
      </c>
    </row>
    <row r="18" customFormat="false" ht="15" hidden="false" customHeight="false" outlineLevel="0" collapsed="false">
      <c r="A18" s="8" t="s">
        <v>103</v>
      </c>
      <c r="B18" s="10" t="s">
        <v>109</v>
      </c>
      <c r="C18" s="8" t="n">
        <v>42</v>
      </c>
      <c r="D18" s="11" t="n">
        <v>0.108</v>
      </c>
      <c r="E18" s="11" t="n">
        <v>0.317</v>
      </c>
      <c r="F18" s="11" t="n">
        <v>0.759</v>
      </c>
      <c r="G18" s="16" t="n">
        <v>0.759</v>
      </c>
    </row>
    <row r="19" customFormat="false" ht="15" hidden="false" customHeight="false" outlineLevel="0" collapsed="false">
      <c r="A19" s="8" t="s">
        <v>103</v>
      </c>
      <c r="B19" s="18" t="s">
        <v>108</v>
      </c>
      <c r="C19" s="8" t="n">
        <v>83</v>
      </c>
      <c r="D19" s="11" t="n">
        <v>0.003</v>
      </c>
      <c r="E19" s="11" t="n">
        <v>0.011</v>
      </c>
      <c r="F19" s="11" t="n">
        <v>0.056</v>
      </c>
      <c r="G19" s="19" t="n">
        <v>0.056</v>
      </c>
    </row>
    <row r="20" customFormat="false" ht="15" hidden="false" customHeight="false" outlineLevel="0" collapsed="false">
      <c r="A20" s="8" t="s">
        <v>116</v>
      </c>
      <c r="B20" s="10" t="s">
        <v>120</v>
      </c>
      <c r="C20" s="8" t="n">
        <v>10</v>
      </c>
      <c r="D20" s="11" t="n">
        <v>0.746</v>
      </c>
      <c r="E20" s="11" t="n">
        <v>0.933</v>
      </c>
      <c r="F20" s="11" t="n">
        <v>0.997</v>
      </c>
      <c r="G20" s="16" t="n">
        <v>0.997</v>
      </c>
    </row>
    <row r="21" customFormat="false" ht="15" hidden="false" customHeight="false" outlineLevel="0" collapsed="false">
      <c r="A21" s="8" t="s">
        <v>116</v>
      </c>
      <c r="B21" s="10" t="s">
        <v>125</v>
      </c>
      <c r="C21" s="8" t="n">
        <v>33</v>
      </c>
      <c r="D21" s="11" t="n">
        <v>0.227</v>
      </c>
      <c r="E21" s="11" t="n">
        <v>0.785</v>
      </c>
      <c r="F21" s="11" t="n">
        <v>0.946</v>
      </c>
      <c r="G21" s="16" t="n">
        <v>0.946</v>
      </c>
    </row>
    <row r="22" customFormat="false" ht="15" hidden="false" customHeight="false" outlineLevel="0" collapsed="false">
      <c r="A22" s="8" t="s">
        <v>116</v>
      </c>
      <c r="B22" s="10" t="s">
        <v>126</v>
      </c>
      <c r="C22" s="8" t="n">
        <v>23</v>
      </c>
      <c r="D22" s="11" t="n">
        <v>0.023</v>
      </c>
      <c r="E22" s="11" t="n">
        <v>0.23</v>
      </c>
      <c r="F22" s="11" t="n">
        <v>0.632</v>
      </c>
      <c r="G22" s="16" t="n">
        <v>0.632</v>
      </c>
    </row>
    <row r="23" customFormat="false" ht="15" hidden="false" customHeight="false" outlineLevel="0" collapsed="false">
      <c r="A23" s="8" t="s">
        <v>116</v>
      </c>
      <c r="B23" s="18" t="s">
        <v>121</v>
      </c>
      <c r="C23" s="8" t="n">
        <v>82</v>
      </c>
      <c r="D23" s="11" t="n">
        <v>0.004</v>
      </c>
      <c r="E23" s="11" t="n">
        <v>0.052</v>
      </c>
      <c r="F23" s="11" t="n">
        <v>0.13</v>
      </c>
      <c r="G23" s="19" t="n">
        <v>0.13</v>
      </c>
    </row>
    <row r="24" customFormat="false" ht="15" hidden="false" customHeight="false" outlineLevel="0" collapsed="false">
      <c r="A24" s="8" t="s">
        <v>135</v>
      </c>
      <c r="B24" s="10" t="s">
        <v>140</v>
      </c>
      <c r="C24" s="8" t="n">
        <v>38</v>
      </c>
      <c r="D24" s="11" t="n">
        <v>0.254</v>
      </c>
      <c r="E24" s="11" t="n">
        <v>0.515</v>
      </c>
      <c r="F24" s="11" t="n">
        <v>0.944</v>
      </c>
      <c r="G24" s="16" t="n">
        <v>0.944</v>
      </c>
    </row>
    <row r="25" customFormat="false" ht="15" hidden="false" customHeight="false" outlineLevel="0" collapsed="false">
      <c r="A25" s="8" t="s">
        <v>135</v>
      </c>
      <c r="B25" s="10" t="s">
        <v>137</v>
      </c>
      <c r="C25" s="8" t="n">
        <v>8</v>
      </c>
      <c r="D25" s="11" t="n">
        <v>0.442</v>
      </c>
      <c r="E25" s="11" t="n">
        <v>0.789</v>
      </c>
      <c r="F25" s="11" t="n">
        <v>0.922</v>
      </c>
      <c r="G25" s="16" t="n">
        <v>0.922</v>
      </c>
    </row>
    <row r="26" customFormat="false" ht="15" hidden="false" customHeight="false" outlineLevel="0" collapsed="false">
      <c r="A26" s="8" t="s">
        <v>135</v>
      </c>
      <c r="B26" s="10" t="s">
        <v>138</v>
      </c>
      <c r="C26" s="8" t="n">
        <v>18</v>
      </c>
      <c r="D26" s="11" t="n">
        <v>0.289</v>
      </c>
      <c r="E26" s="11" t="n">
        <v>0.659</v>
      </c>
      <c r="F26" s="11" t="n">
        <v>0.854</v>
      </c>
      <c r="G26" s="16" t="n">
        <v>0.854</v>
      </c>
    </row>
    <row r="27" customFormat="false" ht="15" hidden="false" customHeight="false" outlineLevel="0" collapsed="false">
      <c r="A27" s="8" t="s">
        <v>135</v>
      </c>
      <c r="B27" s="18" t="s">
        <v>141</v>
      </c>
      <c r="C27" s="8" t="n">
        <v>45</v>
      </c>
      <c r="D27" s="11" t="n">
        <v>0.015</v>
      </c>
      <c r="E27" s="11" t="n">
        <v>0.037</v>
      </c>
      <c r="F27" s="11" t="n">
        <v>0.125</v>
      </c>
      <c r="G27" s="19" t="n">
        <v>0.125</v>
      </c>
    </row>
    <row r="28" customFormat="false" ht="15" hidden="false" customHeight="false" outlineLevel="0" collapsed="false">
      <c r="A28" s="8" t="s">
        <v>146</v>
      </c>
      <c r="B28" s="10" t="s">
        <v>150</v>
      </c>
      <c r="C28" s="8" t="n">
        <v>2</v>
      </c>
      <c r="D28" s="11" t="n">
        <v>0.66</v>
      </c>
      <c r="E28" s="11" t="n">
        <v>0.885</v>
      </c>
      <c r="F28" s="11" t="n">
        <v>0.962</v>
      </c>
      <c r="G28" s="16" t="n">
        <v>0.962</v>
      </c>
    </row>
    <row r="29" customFormat="false" ht="15" hidden="false" customHeight="false" outlineLevel="0" collapsed="false">
      <c r="A29" s="8" t="s">
        <v>146</v>
      </c>
      <c r="B29" s="10" t="s">
        <v>149</v>
      </c>
      <c r="C29" s="8" t="n">
        <v>16</v>
      </c>
      <c r="D29" s="11" t="n">
        <v>0.235</v>
      </c>
      <c r="E29" s="11" t="n">
        <v>0.598</v>
      </c>
      <c r="F29" s="11" t="n">
        <v>0.765</v>
      </c>
      <c r="G29" s="16" t="n">
        <v>0.765</v>
      </c>
    </row>
    <row r="30" customFormat="false" ht="15" hidden="false" customHeight="false" outlineLevel="0" collapsed="false">
      <c r="A30" s="8" t="s">
        <v>146</v>
      </c>
      <c r="B30" s="15" t="s">
        <v>151</v>
      </c>
      <c r="C30" s="8" t="n">
        <v>67</v>
      </c>
      <c r="D30" s="11" t="n">
        <v>0.059</v>
      </c>
      <c r="E30" s="11" t="n">
        <v>0.287</v>
      </c>
      <c r="F30" s="11" t="n">
        <v>0.488</v>
      </c>
      <c r="G30" s="17" t="n">
        <v>0.488</v>
      </c>
    </row>
    <row r="31" customFormat="false" ht="15" hidden="false" customHeight="false" outlineLevel="0" collapsed="false">
      <c r="A31" s="8" t="s">
        <v>146</v>
      </c>
      <c r="B31" s="15" t="s">
        <v>148</v>
      </c>
      <c r="C31" s="8" t="n">
        <v>61</v>
      </c>
      <c r="D31" s="11" t="n">
        <v>0.046</v>
      </c>
      <c r="E31" s="11" t="n">
        <v>0.23</v>
      </c>
      <c r="F31" s="11" t="n">
        <v>0.446</v>
      </c>
      <c r="G31" s="17" t="n">
        <v>0.446</v>
      </c>
    </row>
    <row r="32" customFormat="false" ht="15" hidden="false" customHeight="false" outlineLevel="0" collapsed="false">
      <c r="A32" s="8" t="s">
        <v>157</v>
      </c>
      <c r="B32" s="10" t="s">
        <v>158</v>
      </c>
      <c r="C32" s="8" t="n">
        <v>9</v>
      </c>
      <c r="D32" s="11" t="n">
        <v>0.507</v>
      </c>
      <c r="E32" s="11" t="n">
        <v>0.796</v>
      </c>
      <c r="F32" s="11" t="n">
        <v>0.922</v>
      </c>
      <c r="G32" s="16" t="n">
        <v>0.922</v>
      </c>
    </row>
    <row r="33" customFormat="false" ht="15" hidden="false" customHeight="false" outlineLevel="0" collapsed="false">
      <c r="A33" s="8" t="s">
        <v>157</v>
      </c>
      <c r="B33" s="10" t="s">
        <v>159</v>
      </c>
      <c r="C33" s="8" t="n">
        <v>29</v>
      </c>
      <c r="D33" s="11" t="n">
        <v>0.22</v>
      </c>
      <c r="E33" s="11" t="n">
        <v>0.572</v>
      </c>
      <c r="F33" s="11" t="n">
        <v>0.764</v>
      </c>
      <c r="G33" s="16" t="n">
        <v>0.764</v>
      </c>
    </row>
    <row r="34" customFormat="false" ht="15" hidden="false" customHeight="false" outlineLevel="0" collapsed="false">
      <c r="A34" s="8" t="s">
        <v>157</v>
      </c>
      <c r="B34" s="10" t="s">
        <v>160</v>
      </c>
      <c r="C34" s="8" t="n">
        <v>20</v>
      </c>
      <c r="D34" s="11" t="n">
        <v>0.233</v>
      </c>
      <c r="E34" s="11" t="n">
        <v>0.482</v>
      </c>
      <c r="F34" s="11" t="n">
        <v>0.658</v>
      </c>
      <c r="G34" s="16" t="n">
        <v>0.658</v>
      </c>
    </row>
    <row r="35" customFormat="false" ht="15" hidden="false" customHeight="false" outlineLevel="0" collapsed="false">
      <c r="A35" s="8" t="s">
        <v>157</v>
      </c>
      <c r="B35" s="15" t="s">
        <v>161</v>
      </c>
      <c r="C35" s="8" t="n">
        <v>85</v>
      </c>
      <c r="D35" s="11" t="n">
        <v>0.04</v>
      </c>
      <c r="E35" s="11" t="n">
        <v>0.151</v>
      </c>
      <c r="F35" s="11" t="n">
        <v>0.268</v>
      </c>
      <c r="G35" s="17" t="n">
        <v>0.268</v>
      </c>
    </row>
    <row r="36" customFormat="false" ht="15" hidden="false" customHeight="false" outlineLevel="0" collapsed="false">
      <c r="A36" s="8" t="s">
        <v>166</v>
      </c>
      <c r="B36" s="10" t="s">
        <v>168</v>
      </c>
      <c r="C36" s="8" t="n">
        <v>3</v>
      </c>
      <c r="D36" s="11" t="n">
        <v>0.92</v>
      </c>
      <c r="E36" s="11" t="n">
        <v>0.99</v>
      </c>
      <c r="F36" s="11" t="n">
        <v>0.998</v>
      </c>
      <c r="G36" s="16" t="n">
        <v>0.998</v>
      </c>
    </row>
    <row r="37" customFormat="false" ht="15" hidden="false" customHeight="false" outlineLevel="0" collapsed="false">
      <c r="A37" s="8" t="s">
        <v>166</v>
      </c>
      <c r="B37" s="10" t="s">
        <v>169</v>
      </c>
      <c r="C37" s="8" t="n">
        <v>15</v>
      </c>
      <c r="D37" s="11" t="n">
        <v>0.023</v>
      </c>
      <c r="E37" s="11" t="n">
        <v>0.538</v>
      </c>
      <c r="F37" s="11" t="n">
        <v>0.751</v>
      </c>
      <c r="G37" s="16" t="n">
        <v>0.751</v>
      </c>
    </row>
    <row r="38" customFormat="false" ht="15" hidden="false" customHeight="false" outlineLevel="0" collapsed="false">
      <c r="A38" s="8" t="s">
        <v>166</v>
      </c>
      <c r="B38" s="10" t="s">
        <v>173</v>
      </c>
      <c r="C38" s="8" t="n">
        <v>31</v>
      </c>
      <c r="D38" s="11" t="n">
        <v>0.045</v>
      </c>
      <c r="E38" s="11" t="n">
        <v>0.324</v>
      </c>
      <c r="F38" s="11" t="n">
        <v>0.551</v>
      </c>
      <c r="G38" s="16" t="n">
        <v>0.551</v>
      </c>
    </row>
    <row r="39" customFormat="false" ht="15" hidden="false" customHeight="false" outlineLevel="0" collapsed="false">
      <c r="A39" s="8" t="s">
        <v>166</v>
      </c>
      <c r="B39" s="15" t="s">
        <v>172</v>
      </c>
      <c r="C39" s="8" t="n">
        <v>57</v>
      </c>
      <c r="D39" s="11" t="n">
        <v>0.012</v>
      </c>
      <c r="E39" s="11" t="n">
        <v>0.148</v>
      </c>
      <c r="F39" s="11" t="n">
        <v>0.292</v>
      </c>
      <c r="G39" s="17" t="n">
        <v>0.292</v>
      </c>
    </row>
    <row r="40" customFormat="false" ht="15" hidden="false" customHeight="false" outlineLevel="0" collapsed="false">
      <c r="A40" s="8" t="s">
        <v>179</v>
      </c>
      <c r="B40" s="10" t="s">
        <v>181</v>
      </c>
      <c r="C40" s="8" t="n">
        <v>4</v>
      </c>
      <c r="D40" s="11" t="n">
        <v>0.604</v>
      </c>
      <c r="E40" s="11" t="n">
        <v>0.896</v>
      </c>
      <c r="F40" s="11" t="n">
        <v>0.969</v>
      </c>
      <c r="G40" s="16" t="n">
        <v>0.969</v>
      </c>
    </row>
    <row r="41" customFormat="false" ht="15" hidden="false" customHeight="false" outlineLevel="0" collapsed="false">
      <c r="A41" s="8" t="s">
        <v>179</v>
      </c>
      <c r="B41" s="10" t="s">
        <v>182</v>
      </c>
      <c r="C41" s="8" t="n">
        <v>11</v>
      </c>
      <c r="D41" s="11" t="n">
        <v>0.314</v>
      </c>
      <c r="E41" s="11" t="n">
        <v>0.747</v>
      </c>
      <c r="F41" s="11" t="n">
        <v>0.893</v>
      </c>
      <c r="G41" s="16" t="n">
        <v>0.893</v>
      </c>
    </row>
    <row r="42" customFormat="false" ht="15" hidden="false" customHeight="false" outlineLevel="0" collapsed="false">
      <c r="A42" s="8" t="s">
        <v>179</v>
      </c>
      <c r="B42" s="10" t="s">
        <v>185</v>
      </c>
      <c r="C42" s="8" t="n">
        <v>34</v>
      </c>
      <c r="D42" s="11" t="n">
        <v>0.068</v>
      </c>
      <c r="E42" s="11" t="n">
        <v>0.272</v>
      </c>
      <c r="F42" s="11" t="n">
        <v>0.554</v>
      </c>
      <c r="G42" s="16" t="n">
        <v>0.554</v>
      </c>
    </row>
    <row r="43" customFormat="false" ht="15" hidden="false" customHeight="false" outlineLevel="0" collapsed="false">
      <c r="A43" s="8" t="s">
        <v>179</v>
      </c>
      <c r="B43" s="18" t="s">
        <v>184</v>
      </c>
      <c r="C43" s="8" t="n">
        <v>73</v>
      </c>
      <c r="D43" s="11" t="n">
        <v>0.014</v>
      </c>
      <c r="E43" s="11" t="n">
        <v>0.085</v>
      </c>
      <c r="F43" s="11" t="n">
        <v>0.222</v>
      </c>
      <c r="G43" s="19" t="n">
        <v>0.222</v>
      </c>
    </row>
    <row r="44" customFormat="false" ht="15" hidden="false" customHeight="false" outlineLevel="0" collapsed="false">
      <c r="A44" s="8" t="s">
        <v>190</v>
      </c>
      <c r="B44" s="10" t="s">
        <v>191</v>
      </c>
      <c r="C44" s="8" t="n">
        <v>5</v>
      </c>
      <c r="D44" s="11" t="n">
        <v>0.54</v>
      </c>
      <c r="E44" s="11" t="n">
        <v>0.844</v>
      </c>
      <c r="F44" s="11" t="n">
        <v>0.94</v>
      </c>
      <c r="G44" s="16" t="n">
        <v>0.94</v>
      </c>
    </row>
    <row r="45" customFormat="false" ht="15" hidden="false" customHeight="false" outlineLevel="0" collapsed="false">
      <c r="A45" s="8" t="s">
        <v>190</v>
      </c>
      <c r="B45" s="10" t="s">
        <v>195</v>
      </c>
      <c r="C45" s="8" t="n">
        <v>13</v>
      </c>
      <c r="D45" s="11" t="n">
        <v>0.35</v>
      </c>
      <c r="E45" s="11" t="n">
        <v>0.737</v>
      </c>
      <c r="F45" s="11" t="n">
        <v>0.876</v>
      </c>
      <c r="G45" s="16" t="n">
        <v>0.876</v>
      </c>
    </row>
    <row r="46" customFormat="false" ht="15" hidden="false" customHeight="false" outlineLevel="0" collapsed="false">
      <c r="A46" s="8" t="s">
        <v>190</v>
      </c>
      <c r="B46" s="15" t="s">
        <v>192</v>
      </c>
      <c r="C46" s="8" t="n">
        <v>46</v>
      </c>
      <c r="D46" s="11" t="n">
        <v>0.059</v>
      </c>
      <c r="E46" s="11" t="n">
        <v>0.22</v>
      </c>
      <c r="F46" s="11" t="n">
        <v>0.435</v>
      </c>
      <c r="G46" s="17" t="n">
        <v>0.435</v>
      </c>
    </row>
    <row r="47" customFormat="false" ht="15" hidden="false" customHeight="false" outlineLevel="0" collapsed="false">
      <c r="A47" s="8" t="s">
        <v>190</v>
      </c>
      <c r="B47" s="15" t="s">
        <v>194</v>
      </c>
      <c r="C47" s="8" t="n">
        <v>50</v>
      </c>
      <c r="D47" s="11" t="n">
        <v>0.051</v>
      </c>
      <c r="E47" s="11" t="n">
        <v>0.2</v>
      </c>
      <c r="F47" s="11" t="n">
        <v>0.404</v>
      </c>
      <c r="G47" s="17" t="n">
        <v>0.404</v>
      </c>
    </row>
    <row r="48" customFormat="false" ht="15" hidden="false" customHeight="false" outlineLevel="0" collapsed="false">
      <c r="A48" s="8" t="s">
        <v>198</v>
      </c>
      <c r="B48" s="10" t="s">
        <v>199</v>
      </c>
      <c r="C48" s="8" t="n">
        <v>1</v>
      </c>
      <c r="D48" s="11" t="n">
        <v>0.903</v>
      </c>
      <c r="E48" s="11" t="n">
        <v>0.992</v>
      </c>
      <c r="F48" s="11" t="n">
        <v>0.999</v>
      </c>
      <c r="G48" s="16" t="n">
        <v>0.999</v>
      </c>
    </row>
    <row r="49" customFormat="false" ht="15" hidden="false" customHeight="false" outlineLevel="0" collapsed="false">
      <c r="A49" s="8" t="s">
        <v>198</v>
      </c>
      <c r="B49" s="10" t="s">
        <v>203</v>
      </c>
      <c r="C49" s="8" t="n">
        <v>24</v>
      </c>
      <c r="D49" s="11" t="n">
        <v>0.079</v>
      </c>
      <c r="E49" s="11" t="n">
        <v>0.534</v>
      </c>
      <c r="F49" s="11" t="n">
        <v>0.703</v>
      </c>
      <c r="G49" s="16" t="n">
        <v>0.703</v>
      </c>
    </row>
    <row r="50" customFormat="false" ht="15" hidden="false" customHeight="false" outlineLevel="0" collapsed="false">
      <c r="A50" s="8" t="s">
        <v>198</v>
      </c>
      <c r="B50" s="15" t="s">
        <v>200</v>
      </c>
      <c r="C50" s="8" t="n">
        <v>28</v>
      </c>
      <c r="D50" s="11" t="n">
        <v>0.008</v>
      </c>
      <c r="E50" s="11" t="n">
        <v>0.308</v>
      </c>
      <c r="F50" s="11" t="n">
        <v>0.524</v>
      </c>
      <c r="G50" s="17" t="n">
        <v>0.524</v>
      </c>
    </row>
    <row r="51" customFormat="false" ht="15" hidden="false" customHeight="false" outlineLevel="0" collapsed="false">
      <c r="A51" s="8" t="s">
        <v>198</v>
      </c>
      <c r="B51" s="15" t="s">
        <v>204</v>
      </c>
      <c r="C51" s="8" t="n">
        <v>63</v>
      </c>
      <c r="D51" s="11" t="n">
        <v>0.01</v>
      </c>
      <c r="E51" s="11" t="n">
        <v>0.166</v>
      </c>
      <c r="F51" s="11" t="n">
        <v>0.304</v>
      </c>
      <c r="G51" s="17" t="n">
        <v>0.304</v>
      </c>
    </row>
  </sheetData>
  <autoFilter ref="A3:G51"/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20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30"/>
    <col collapsed="false" customWidth="true" hidden="false" outlineLevel="0" max="5" min="5" style="0" width="26"/>
  </cols>
  <sheetData>
    <row r="1" customFormat="false" ht="17.35" hidden="false" customHeight="false" outlineLevel="0" collapsed="false">
      <c r="A1" s="6" t="s">
        <v>215</v>
      </c>
      <c r="B1" s="6"/>
      <c r="C1" s="6"/>
      <c r="D1" s="6"/>
      <c r="E1" s="6"/>
    </row>
    <row r="3" customFormat="false" ht="15" hidden="false" customHeight="false" outlineLevel="0" collapsed="false">
      <c r="A3" s="7" t="s">
        <v>216</v>
      </c>
      <c r="B3" s="7" t="s">
        <v>28</v>
      </c>
      <c r="C3" s="7" t="s">
        <v>217</v>
      </c>
      <c r="D3" s="7" t="s">
        <v>218</v>
      </c>
      <c r="E3" s="7" t="s">
        <v>219</v>
      </c>
    </row>
    <row r="4" customFormat="false" ht="15" hidden="false" customHeight="false" outlineLevel="0" collapsed="false">
      <c r="A4" s="8" t="s">
        <v>220</v>
      </c>
      <c r="B4" s="8" t="s">
        <v>221</v>
      </c>
      <c r="C4" s="21" t="s">
        <v>222</v>
      </c>
      <c r="D4" s="21" t="s">
        <v>223</v>
      </c>
      <c r="E4" s="9" t="s">
        <v>224</v>
      </c>
    </row>
    <row r="5" customFormat="false" ht="15" hidden="false" customHeight="false" outlineLevel="0" collapsed="false">
      <c r="A5" s="8" t="s">
        <v>225</v>
      </c>
      <c r="B5" s="8" t="s">
        <v>226</v>
      </c>
      <c r="C5" s="21" t="s">
        <v>227</v>
      </c>
      <c r="D5" s="21" t="s">
        <v>228</v>
      </c>
      <c r="E5" s="9" t="s">
        <v>229</v>
      </c>
    </row>
    <row r="6" customFormat="false" ht="15" hidden="false" customHeight="false" outlineLevel="0" collapsed="false">
      <c r="A6" s="8" t="s">
        <v>230</v>
      </c>
      <c r="B6" s="8" t="s">
        <v>226</v>
      </c>
      <c r="C6" s="21" t="s">
        <v>231</v>
      </c>
      <c r="D6" s="21" t="s">
        <v>232</v>
      </c>
      <c r="E6" s="9" t="s">
        <v>69</v>
      </c>
    </row>
    <row r="7" customFormat="false" ht="15" hidden="false" customHeight="false" outlineLevel="0" collapsed="false">
      <c r="A7" s="8" t="s">
        <v>233</v>
      </c>
      <c r="B7" s="8" t="s">
        <v>226</v>
      </c>
      <c r="C7" s="21" t="s">
        <v>234</v>
      </c>
      <c r="D7" s="21" t="s">
        <v>235</v>
      </c>
      <c r="E7" s="9" t="s">
        <v>236</v>
      </c>
    </row>
    <row r="8" customFormat="false" ht="15" hidden="false" customHeight="false" outlineLevel="0" collapsed="false">
      <c r="A8" s="8" t="s">
        <v>237</v>
      </c>
      <c r="B8" s="8" t="s">
        <v>238</v>
      </c>
      <c r="C8" s="21" t="s">
        <v>239</v>
      </c>
      <c r="D8" s="21" t="s">
        <v>240</v>
      </c>
      <c r="E8" s="9" t="s">
        <v>241</v>
      </c>
    </row>
    <row r="9" customFormat="false" ht="15" hidden="false" customHeight="false" outlineLevel="0" collapsed="false">
      <c r="A9" s="8" t="s">
        <v>242</v>
      </c>
      <c r="B9" s="8" t="s">
        <v>238</v>
      </c>
      <c r="C9" s="21" t="s">
        <v>243</v>
      </c>
      <c r="D9" s="21" t="s">
        <v>244</v>
      </c>
      <c r="E9" s="9" t="s">
        <v>245</v>
      </c>
    </row>
    <row r="10" customFormat="false" ht="15" hidden="false" customHeight="false" outlineLevel="0" collapsed="false">
      <c r="A10" s="8" t="s">
        <v>246</v>
      </c>
      <c r="B10" s="8" t="s">
        <v>238</v>
      </c>
      <c r="C10" s="21" t="s">
        <v>247</v>
      </c>
      <c r="D10" s="21" t="s">
        <v>248</v>
      </c>
      <c r="E10" s="9" t="s">
        <v>249</v>
      </c>
    </row>
    <row r="11" customFormat="false" ht="15" hidden="false" customHeight="false" outlineLevel="0" collapsed="false">
      <c r="A11" s="8" t="s">
        <v>250</v>
      </c>
      <c r="B11" s="8" t="s">
        <v>251</v>
      </c>
      <c r="C11" s="21" t="s">
        <v>252</v>
      </c>
      <c r="D11" s="21" t="s">
        <v>253</v>
      </c>
      <c r="E11" s="9"/>
    </row>
    <row r="12" customFormat="false" ht="15" hidden="false" customHeight="false" outlineLevel="0" collapsed="false">
      <c r="A12" s="8" t="s">
        <v>254</v>
      </c>
      <c r="B12" s="8" t="s">
        <v>251</v>
      </c>
      <c r="C12" s="21" t="s">
        <v>255</v>
      </c>
      <c r="D12" s="21" t="s">
        <v>256</v>
      </c>
      <c r="E12" s="9"/>
    </row>
    <row r="13" customFormat="false" ht="15" hidden="false" customHeight="false" outlineLevel="0" collapsed="false">
      <c r="A13" s="8" t="s">
        <v>257</v>
      </c>
      <c r="B13" s="8" t="s">
        <v>251</v>
      </c>
      <c r="C13" s="21" t="s">
        <v>258</v>
      </c>
      <c r="D13" s="21" t="s">
        <v>259</v>
      </c>
      <c r="E13" s="9"/>
    </row>
    <row r="14" customFormat="false" ht="15" hidden="false" customHeight="false" outlineLevel="0" collapsed="false">
      <c r="A14" s="8" t="s">
        <v>260</v>
      </c>
      <c r="B14" s="8" t="s">
        <v>261</v>
      </c>
      <c r="C14" s="21" t="s">
        <v>262</v>
      </c>
      <c r="D14" s="21" t="s">
        <v>263</v>
      </c>
      <c r="E14" s="9" t="s">
        <v>73</v>
      </c>
    </row>
    <row r="15" customFormat="false" ht="15" hidden="false" customHeight="false" outlineLevel="0" collapsed="false">
      <c r="A15" s="8" t="s">
        <v>264</v>
      </c>
      <c r="B15" s="8" t="s">
        <v>261</v>
      </c>
      <c r="C15" s="21" t="s">
        <v>265</v>
      </c>
      <c r="D15" s="21" t="s">
        <v>266</v>
      </c>
      <c r="E15" s="9" t="s">
        <v>224</v>
      </c>
    </row>
    <row r="16" customFormat="false" ht="15" hidden="false" customHeight="false" outlineLevel="0" collapsed="false">
      <c r="A16" s="8" t="s">
        <v>267</v>
      </c>
      <c r="B16" s="8" t="s">
        <v>261</v>
      </c>
      <c r="C16" s="21" t="s">
        <v>268</v>
      </c>
      <c r="D16" s="21" t="s">
        <v>269</v>
      </c>
      <c r="E16" s="9" t="s">
        <v>84</v>
      </c>
    </row>
    <row r="17" customFormat="false" ht="15" hidden="false" customHeight="false" outlineLevel="0" collapsed="false">
      <c r="A17" s="8" t="s">
        <v>270</v>
      </c>
      <c r="B17" s="8" t="s">
        <v>271</v>
      </c>
      <c r="C17" s="21" t="s">
        <v>272</v>
      </c>
      <c r="D17" s="21" t="s">
        <v>273</v>
      </c>
      <c r="E17" s="9" t="s">
        <v>274</v>
      </c>
    </row>
    <row r="18" customFormat="false" ht="15" hidden="false" customHeight="false" outlineLevel="0" collapsed="false">
      <c r="A18" s="8" t="s">
        <v>275</v>
      </c>
      <c r="B18" s="8" t="s">
        <v>271</v>
      </c>
      <c r="C18" s="21" t="s">
        <v>276</v>
      </c>
      <c r="D18" s="21" t="s">
        <v>277</v>
      </c>
      <c r="E18" s="9" t="s">
        <v>278</v>
      </c>
    </row>
    <row r="19" customFormat="false" ht="15" hidden="false" customHeight="false" outlineLevel="0" collapsed="false">
      <c r="A19" s="8" t="s">
        <v>279</v>
      </c>
      <c r="B19" s="8" t="s">
        <v>271</v>
      </c>
      <c r="C19" s="21" t="s">
        <v>280</v>
      </c>
      <c r="D19" s="21" t="s">
        <v>281</v>
      </c>
      <c r="E19" s="9" t="s">
        <v>245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7"/>
    <col collapsed="false" customWidth="true" hidden="false" outlineLevel="0" max="4" min="4" style="0" width="11"/>
    <col collapsed="false" customWidth="true" hidden="false" outlineLevel="0" max="6" min="5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6" t="s">
        <v>282</v>
      </c>
      <c r="B1" s="6"/>
      <c r="C1" s="6"/>
      <c r="D1" s="6"/>
      <c r="E1" s="6"/>
      <c r="F1" s="6"/>
      <c r="G1" s="6"/>
      <c r="H1" s="6"/>
      <c r="I1" s="6"/>
    </row>
    <row r="3" customFormat="false" ht="15" hidden="false" customHeight="false" outlineLevel="0" collapsed="false">
      <c r="A3" s="7" t="s">
        <v>209</v>
      </c>
      <c r="B3" s="7" t="s">
        <v>27</v>
      </c>
      <c r="C3" s="7" t="s">
        <v>210</v>
      </c>
      <c r="D3" s="7" t="s">
        <v>283</v>
      </c>
      <c r="E3" s="7" t="s">
        <v>284</v>
      </c>
      <c r="F3" s="7" t="s">
        <v>285</v>
      </c>
      <c r="G3" s="7" t="s">
        <v>286</v>
      </c>
      <c r="H3" s="7" t="s">
        <v>287</v>
      </c>
      <c r="I3" s="7" t="s">
        <v>288</v>
      </c>
    </row>
    <row r="4" customFormat="false" ht="15" hidden="false" customHeight="false" outlineLevel="0" collapsed="false">
      <c r="A4" s="22" t="s">
        <v>168</v>
      </c>
      <c r="B4" s="8" t="s">
        <v>166</v>
      </c>
      <c r="C4" s="8" t="n">
        <v>3</v>
      </c>
      <c r="D4" s="11" t="n">
        <v>0.998</v>
      </c>
      <c r="E4" s="11" t="n">
        <v>0.85</v>
      </c>
      <c r="F4" s="11" t="n">
        <v>0.654</v>
      </c>
      <c r="G4" s="11" t="n">
        <v>0.508</v>
      </c>
      <c r="H4" s="11" t="n">
        <v>0.323</v>
      </c>
      <c r="I4" s="16" t="n">
        <v>0.2</v>
      </c>
    </row>
    <row r="5" customFormat="false" ht="15" hidden="false" customHeight="false" outlineLevel="0" collapsed="false">
      <c r="A5" s="22" t="s">
        <v>199</v>
      </c>
      <c r="B5" s="8" t="s">
        <v>198</v>
      </c>
      <c r="C5" s="8" t="n">
        <v>1</v>
      </c>
      <c r="D5" s="11" t="n">
        <v>0.999</v>
      </c>
      <c r="E5" s="11" t="n">
        <v>0.852</v>
      </c>
      <c r="F5" s="11" t="n">
        <v>0.64</v>
      </c>
      <c r="G5" s="11" t="n">
        <v>0.473</v>
      </c>
      <c r="H5" s="11" t="n">
        <v>0.312</v>
      </c>
      <c r="I5" s="16" t="n">
        <v>0.187</v>
      </c>
    </row>
    <row r="6" customFormat="false" ht="15" hidden="false" customHeight="false" outlineLevel="0" collapsed="false">
      <c r="A6" s="22" t="s">
        <v>150</v>
      </c>
      <c r="B6" s="8" t="s">
        <v>146</v>
      </c>
      <c r="C6" s="8" t="n">
        <v>2</v>
      </c>
      <c r="D6" s="11" t="n">
        <v>0.962</v>
      </c>
      <c r="E6" s="11" t="n">
        <v>0.788</v>
      </c>
      <c r="F6" s="11" t="n">
        <v>0.569</v>
      </c>
      <c r="G6" s="11" t="n">
        <v>0.406</v>
      </c>
      <c r="H6" s="11" t="n">
        <v>0.252</v>
      </c>
      <c r="I6" s="16" t="n">
        <v>0.154</v>
      </c>
    </row>
    <row r="7" customFormat="false" ht="15" hidden="false" customHeight="false" outlineLevel="0" collapsed="false">
      <c r="A7" s="23" t="s">
        <v>181</v>
      </c>
      <c r="B7" s="8" t="s">
        <v>179</v>
      </c>
      <c r="C7" s="8" t="n">
        <v>4</v>
      </c>
      <c r="D7" s="11" t="n">
        <v>0.969</v>
      </c>
      <c r="E7" s="11" t="n">
        <v>0.728</v>
      </c>
      <c r="F7" s="11" t="n">
        <v>0.545</v>
      </c>
      <c r="G7" s="11" t="n">
        <v>0.326</v>
      </c>
      <c r="H7" s="11" t="n">
        <v>0.18</v>
      </c>
      <c r="I7" s="17" t="n">
        <v>0.096</v>
      </c>
    </row>
    <row r="8" customFormat="false" ht="15" hidden="false" customHeight="false" outlineLevel="0" collapsed="false">
      <c r="A8" s="9" t="s">
        <v>191</v>
      </c>
      <c r="B8" s="8" t="s">
        <v>190</v>
      </c>
      <c r="C8" s="8" t="n">
        <v>5</v>
      </c>
      <c r="D8" s="11" t="n">
        <v>0.94</v>
      </c>
      <c r="E8" s="11" t="n">
        <v>0.676</v>
      </c>
      <c r="F8" s="11" t="n">
        <v>0.386</v>
      </c>
      <c r="G8" s="11" t="n">
        <v>0.204</v>
      </c>
      <c r="H8" s="11" t="n">
        <v>0.099</v>
      </c>
      <c r="I8" s="24" t="n">
        <v>0.044</v>
      </c>
    </row>
    <row r="9" customFormat="false" ht="15" hidden="false" customHeight="false" outlineLevel="0" collapsed="false">
      <c r="A9" s="9" t="s">
        <v>105</v>
      </c>
      <c r="B9" s="8" t="s">
        <v>103</v>
      </c>
      <c r="C9" s="8" t="n">
        <v>6</v>
      </c>
      <c r="D9" s="11" t="n">
        <v>0.96</v>
      </c>
      <c r="E9" s="11" t="n">
        <v>0.66</v>
      </c>
      <c r="F9" s="11" t="n">
        <v>0.358</v>
      </c>
      <c r="G9" s="11" t="n">
        <v>0.201</v>
      </c>
      <c r="H9" s="11" t="n">
        <v>0.097</v>
      </c>
      <c r="I9" s="24" t="n">
        <v>0.043</v>
      </c>
    </row>
    <row r="10" customFormat="false" ht="15" hidden="false" customHeight="false" outlineLevel="0" collapsed="false">
      <c r="A10" s="9" t="s">
        <v>106</v>
      </c>
      <c r="B10" s="8" t="s">
        <v>103</v>
      </c>
      <c r="C10" s="8" t="n">
        <v>7</v>
      </c>
      <c r="D10" s="11" t="n">
        <v>0.959</v>
      </c>
      <c r="E10" s="11" t="n">
        <v>0.654</v>
      </c>
      <c r="F10" s="11" t="n">
        <v>0.353</v>
      </c>
      <c r="G10" s="11" t="n">
        <v>0.196</v>
      </c>
      <c r="H10" s="11" t="n">
        <v>0.09</v>
      </c>
      <c r="I10" s="24" t="n">
        <v>0.039</v>
      </c>
    </row>
    <row r="11" customFormat="false" ht="15" hidden="false" customHeight="false" outlineLevel="0" collapsed="false">
      <c r="A11" s="9" t="s">
        <v>47</v>
      </c>
      <c r="B11" s="8" t="s">
        <v>43</v>
      </c>
      <c r="C11" s="8" t="n">
        <v>14</v>
      </c>
      <c r="D11" s="11" t="n">
        <v>0.993</v>
      </c>
      <c r="E11" s="11" t="n">
        <v>0.712</v>
      </c>
      <c r="F11" s="11" t="n">
        <v>0.328</v>
      </c>
      <c r="G11" s="11" t="n">
        <v>0.172</v>
      </c>
      <c r="H11" s="11" t="n">
        <v>0.081</v>
      </c>
      <c r="I11" s="24" t="n">
        <v>0.036</v>
      </c>
    </row>
    <row r="12" customFormat="false" ht="15" hidden="false" customHeight="false" outlineLevel="0" collapsed="false">
      <c r="A12" s="9" t="s">
        <v>137</v>
      </c>
      <c r="B12" s="8" t="s">
        <v>135</v>
      </c>
      <c r="C12" s="8" t="n">
        <v>8</v>
      </c>
      <c r="D12" s="11" t="n">
        <v>0.922</v>
      </c>
      <c r="E12" s="11" t="n">
        <v>0.592</v>
      </c>
      <c r="F12" s="11" t="n">
        <v>0.39</v>
      </c>
      <c r="G12" s="11" t="n">
        <v>0.173</v>
      </c>
      <c r="H12" s="11" t="n">
        <v>0.081</v>
      </c>
      <c r="I12" s="24" t="n">
        <v>0.035</v>
      </c>
    </row>
    <row r="13" customFormat="false" ht="15" hidden="false" customHeight="false" outlineLevel="0" collapsed="false">
      <c r="A13" s="9" t="s">
        <v>89</v>
      </c>
      <c r="B13" s="8" t="s">
        <v>88</v>
      </c>
      <c r="C13" s="8" t="n">
        <v>17</v>
      </c>
      <c r="D13" s="11" t="n">
        <v>0.993</v>
      </c>
      <c r="E13" s="11" t="n">
        <v>0.586</v>
      </c>
      <c r="F13" s="11" t="n">
        <v>0.368</v>
      </c>
      <c r="G13" s="11" t="n">
        <v>0.152</v>
      </c>
      <c r="H13" s="11" t="n">
        <v>0.068</v>
      </c>
      <c r="I13" s="24" t="n">
        <v>0.028</v>
      </c>
    </row>
    <row r="14" customFormat="false" ht="15" hidden="false" customHeight="false" outlineLevel="0" collapsed="false">
      <c r="A14" s="9" t="s">
        <v>120</v>
      </c>
      <c r="B14" s="8" t="s">
        <v>116</v>
      </c>
      <c r="C14" s="8" t="n">
        <v>10</v>
      </c>
      <c r="D14" s="11" t="n">
        <v>0.997</v>
      </c>
      <c r="E14" s="11" t="n">
        <v>0.706</v>
      </c>
      <c r="F14" s="11" t="n">
        <v>0.289</v>
      </c>
      <c r="G14" s="11" t="n">
        <v>0.158</v>
      </c>
      <c r="H14" s="11" t="n">
        <v>0.067</v>
      </c>
      <c r="I14" s="24" t="n">
        <v>0.028</v>
      </c>
    </row>
    <row r="15" customFormat="false" ht="15" hidden="false" customHeight="false" outlineLevel="0" collapsed="false">
      <c r="A15" s="9" t="s">
        <v>158</v>
      </c>
      <c r="B15" s="8" t="s">
        <v>157</v>
      </c>
      <c r="C15" s="8" t="n">
        <v>9</v>
      </c>
      <c r="D15" s="11" t="n">
        <v>0.922</v>
      </c>
      <c r="E15" s="11" t="n">
        <v>0.471</v>
      </c>
      <c r="F15" s="11" t="n">
        <v>0.282</v>
      </c>
      <c r="G15" s="11" t="n">
        <v>0.13</v>
      </c>
      <c r="H15" s="11" t="n">
        <v>0.058</v>
      </c>
      <c r="I15" s="24" t="n">
        <v>0.024</v>
      </c>
    </row>
    <row r="16" customFormat="false" ht="15" hidden="false" customHeight="false" outlineLevel="0" collapsed="false">
      <c r="A16" s="9" t="s">
        <v>182</v>
      </c>
      <c r="B16" s="8" t="s">
        <v>179</v>
      </c>
      <c r="C16" s="8" t="n">
        <v>11</v>
      </c>
      <c r="D16" s="11" t="n">
        <v>0.893</v>
      </c>
      <c r="E16" s="11" t="n">
        <v>0.533</v>
      </c>
      <c r="F16" s="11" t="n">
        <v>0.319</v>
      </c>
      <c r="G16" s="11" t="n">
        <v>0.145</v>
      </c>
      <c r="H16" s="11" t="n">
        <v>0.06</v>
      </c>
      <c r="I16" s="24" t="n">
        <v>0.022</v>
      </c>
    </row>
    <row r="17" customFormat="false" ht="15" hidden="false" customHeight="false" outlineLevel="0" collapsed="false">
      <c r="A17" s="9" t="s">
        <v>195</v>
      </c>
      <c r="B17" s="8" t="s">
        <v>190</v>
      </c>
      <c r="C17" s="8" t="n">
        <v>13</v>
      </c>
      <c r="D17" s="11" t="n">
        <v>0.876</v>
      </c>
      <c r="E17" s="11" t="n">
        <v>0.536</v>
      </c>
      <c r="F17" s="11" t="n">
        <v>0.258</v>
      </c>
      <c r="G17" s="11" t="n">
        <v>0.106</v>
      </c>
      <c r="H17" s="11" t="n">
        <v>0.041</v>
      </c>
      <c r="I17" s="24" t="n">
        <v>0.014</v>
      </c>
    </row>
    <row r="18" customFormat="false" ht="15" hidden="false" customHeight="false" outlineLevel="0" collapsed="false">
      <c r="A18" s="9" t="s">
        <v>149</v>
      </c>
      <c r="B18" s="8" t="s">
        <v>146</v>
      </c>
      <c r="C18" s="8" t="n">
        <v>16</v>
      </c>
      <c r="D18" s="11" t="n">
        <v>0.765</v>
      </c>
      <c r="E18" s="11" t="n">
        <v>0.407</v>
      </c>
      <c r="F18" s="11" t="n">
        <v>0.189</v>
      </c>
      <c r="G18" s="11" t="n">
        <v>0.085</v>
      </c>
      <c r="H18" s="11" t="n">
        <v>0.03</v>
      </c>
      <c r="I18" s="24" t="n">
        <v>0.01</v>
      </c>
    </row>
    <row r="19" customFormat="false" ht="15" hidden="false" customHeight="false" outlineLevel="0" collapsed="false">
      <c r="A19" s="9" t="s">
        <v>169</v>
      </c>
      <c r="B19" s="8" t="s">
        <v>166</v>
      </c>
      <c r="C19" s="8" t="n">
        <v>15</v>
      </c>
      <c r="D19" s="11" t="n">
        <v>0.751</v>
      </c>
      <c r="E19" s="11" t="n">
        <v>0.445</v>
      </c>
      <c r="F19" s="11" t="n">
        <v>0.207</v>
      </c>
      <c r="G19" s="11" t="n">
        <v>0.075</v>
      </c>
      <c r="H19" s="11" t="n">
        <v>0.03</v>
      </c>
      <c r="I19" s="24" t="n">
        <v>0.01</v>
      </c>
    </row>
    <row r="20" customFormat="false" ht="15" hidden="false" customHeight="false" outlineLevel="0" collapsed="false">
      <c r="A20" s="9" t="s">
        <v>138</v>
      </c>
      <c r="B20" s="8" t="s">
        <v>135</v>
      </c>
      <c r="C20" s="8" t="n">
        <v>18</v>
      </c>
      <c r="D20" s="11" t="n">
        <v>0.854</v>
      </c>
      <c r="E20" s="11" t="n">
        <v>0.423</v>
      </c>
      <c r="F20" s="11" t="n">
        <v>0.22</v>
      </c>
      <c r="G20" s="11" t="n">
        <v>0.071</v>
      </c>
      <c r="H20" s="11" t="n">
        <v>0.024</v>
      </c>
      <c r="I20" s="24" t="n">
        <v>0.008</v>
      </c>
    </row>
    <row r="21" customFormat="false" ht="15" hidden="false" customHeight="false" outlineLevel="0" collapsed="false">
      <c r="A21" s="9" t="s">
        <v>80</v>
      </c>
      <c r="B21" s="8" t="s">
        <v>71</v>
      </c>
      <c r="C21" s="8" t="n">
        <v>19</v>
      </c>
      <c r="D21" s="11" t="n">
        <v>0.823</v>
      </c>
      <c r="E21" s="11" t="n">
        <v>0.464</v>
      </c>
      <c r="F21" s="11" t="n">
        <v>0.19</v>
      </c>
      <c r="G21" s="11" t="n">
        <v>0.066</v>
      </c>
      <c r="H21" s="11" t="n">
        <v>0.021</v>
      </c>
      <c r="I21" s="24" t="n">
        <v>0.007</v>
      </c>
    </row>
    <row r="22" customFormat="false" ht="15" hidden="false" customHeight="false" outlineLevel="0" collapsed="false">
      <c r="A22" s="9" t="s">
        <v>74</v>
      </c>
      <c r="B22" s="8" t="s">
        <v>71</v>
      </c>
      <c r="C22" s="8" t="n">
        <v>30</v>
      </c>
      <c r="D22" s="11" t="n">
        <v>0.761</v>
      </c>
      <c r="E22" s="11" t="n">
        <v>0.393</v>
      </c>
      <c r="F22" s="11" t="n">
        <v>0.142</v>
      </c>
      <c r="G22" s="11" t="n">
        <v>0.042</v>
      </c>
      <c r="H22" s="11" t="n">
        <v>0.011</v>
      </c>
      <c r="I22" s="24" t="n">
        <v>0.003</v>
      </c>
    </row>
    <row r="23" customFormat="false" ht="15" hidden="false" customHeight="false" outlineLevel="0" collapsed="false">
      <c r="A23" s="9" t="s">
        <v>54</v>
      </c>
      <c r="B23" s="8" t="s">
        <v>43</v>
      </c>
      <c r="C23" s="8" t="n">
        <v>25</v>
      </c>
      <c r="D23" s="11" t="n">
        <v>0.938</v>
      </c>
      <c r="E23" s="11" t="n">
        <v>0.486</v>
      </c>
      <c r="F23" s="11" t="n">
        <v>0.165</v>
      </c>
      <c r="G23" s="11" t="n">
        <v>0.044</v>
      </c>
      <c r="H23" s="11" t="n">
        <v>0.011</v>
      </c>
      <c r="I23" s="24" t="n">
        <v>0.003</v>
      </c>
    </row>
    <row r="24" customFormat="false" ht="15" hidden="false" customHeight="false" outlineLevel="0" collapsed="false">
      <c r="A24" s="9" t="s">
        <v>160</v>
      </c>
      <c r="B24" s="8" t="s">
        <v>157</v>
      </c>
      <c r="C24" s="8" t="n">
        <v>20</v>
      </c>
      <c r="D24" s="11" t="n">
        <v>0.658</v>
      </c>
      <c r="E24" s="11" t="n">
        <v>0.225</v>
      </c>
      <c r="F24" s="11" t="n">
        <v>0.097</v>
      </c>
      <c r="G24" s="11" t="n">
        <v>0.032</v>
      </c>
      <c r="H24" s="11" t="n">
        <v>0.01</v>
      </c>
      <c r="I24" s="24" t="n">
        <v>0.002</v>
      </c>
    </row>
    <row r="25" customFormat="false" ht="15" hidden="false" customHeight="false" outlineLevel="0" collapsed="false">
      <c r="A25" s="9" t="s">
        <v>94</v>
      </c>
      <c r="B25" s="8" t="s">
        <v>88</v>
      </c>
      <c r="C25" s="8" t="n">
        <v>27</v>
      </c>
      <c r="D25" s="11" t="n">
        <v>0.949</v>
      </c>
      <c r="E25" s="11" t="n">
        <v>0.353</v>
      </c>
      <c r="F25" s="11" t="n">
        <v>0.158</v>
      </c>
      <c r="G25" s="11" t="n">
        <v>0.035</v>
      </c>
      <c r="H25" s="11" t="n">
        <v>0.01</v>
      </c>
      <c r="I25" s="24" t="n">
        <v>0.002</v>
      </c>
    </row>
    <row r="26" customFormat="false" ht="15" hidden="false" customHeight="false" outlineLevel="0" collapsed="false">
      <c r="A26" s="9" t="s">
        <v>95</v>
      </c>
      <c r="B26" s="8" t="s">
        <v>88</v>
      </c>
      <c r="C26" s="8" t="n">
        <v>22</v>
      </c>
      <c r="D26" s="11" t="n">
        <v>0.465</v>
      </c>
      <c r="E26" s="11" t="n">
        <v>0.15</v>
      </c>
      <c r="F26" s="11" t="n">
        <v>0.056</v>
      </c>
      <c r="G26" s="11" t="n">
        <v>0.018</v>
      </c>
      <c r="H26" s="11" t="n">
        <v>0.005</v>
      </c>
      <c r="I26" s="24" t="n">
        <v>0.002</v>
      </c>
    </row>
    <row r="27" customFormat="false" ht="15" hidden="false" customHeight="false" outlineLevel="0" collapsed="false">
      <c r="A27" s="9" t="s">
        <v>126</v>
      </c>
      <c r="B27" s="8" t="s">
        <v>116</v>
      </c>
      <c r="C27" s="8" t="n">
        <v>23</v>
      </c>
      <c r="D27" s="11" t="n">
        <v>0.632</v>
      </c>
      <c r="E27" s="11" t="n">
        <v>0.231</v>
      </c>
      <c r="F27" s="11" t="n">
        <v>0.07</v>
      </c>
      <c r="G27" s="11" t="n">
        <v>0.021</v>
      </c>
      <c r="H27" s="11" t="n">
        <v>0.006</v>
      </c>
      <c r="I27" s="24" t="n">
        <v>0.001</v>
      </c>
    </row>
    <row r="28" customFormat="false" ht="15" hidden="false" customHeight="false" outlineLevel="0" collapsed="false">
      <c r="A28" s="9" t="s">
        <v>203</v>
      </c>
      <c r="B28" s="8" t="s">
        <v>198</v>
      </c>
      <c r="C28" s="8" t="n">
        <v>24</v>
      </c>
      <c r="D28" s="11" t="n">
        <v>0.703</v>
      </c>
      <c r="E28" s="11" t="n">
        <v>0.289</v>
      </c>
      <c r="F28" s="11" t="n">
        <v>0.097</v>
      </c>
      <c r="G28" s="11" t="n">
        <v>0.027</v>
      </c>
      <c r="H28" s="11" t="n">
        <v>0.007</v>
      </c>
      <c r="I28" s="24" t="n">
        <v>0.001</v>
      </c>
    </row>
    <row r="29" customFormat="false" ht="15" hidden="false" customHeight="false" outlineLevel="0" collapsed="false">
      <c r="A29" s="9" t="s">
        <v>125</v>
      </c>
      <c r="B29" s="8" t="s">
        <v>116</v>
      </c>
      <c r="C29" s="8" t="n">
        <v>33</v>
      </c>
      <c r="D29" s="11" t="n">
        <v>0.946</v>
      </c>
      <c r="E29" s="11" t="n">
        <v>0.362</v>
      </c>
      <c r="F29" s="11" t="n">
        <v>0.085</v>
      </c>
      <c r="G29" s="11" t="n">
        <v>0.02</v>
      </c>
      <c r="H29" s="11" t="n">
        <v>0.004</v>
      </c>
      <c r="I29" s="24" t="n">
        <v>0.001</v>
      </c>
    </row>
    <row r="30" customFormat="false" ht="15" hidden="false" customHeight="false" outlineLevel="0" collapsed="false">
      <c r="A30" s="9" t="s">
        <v>140</v>
      </c>
      <c r="B30" s="8" t="s">
        <v>135</v>
      </c>
      <c r="C30" s="8" t="n">
        <v>38</v>
      </c>
      <c r="D30" s="11" t="n">
        <v>0.944</v>
      </c>
      <c r="E30" s="11" t="n">
        <v>0.285</v>
      </c>
      <c r="F30" s="11" t="n">
        <v>0.087</v>
      </c>
      <c r="G30" s="11" t="n">
        <v>0.016</v>
      </c>
      <c r="H30" s="11" t="n">
        <v>0.003</v>
      </c>
      <c r="I30" s="24" t="n">
        <v>0.001</v>
      </c>
    </row>
    <row r="31" customFormat="false" ht="15" hidden="false" customHeight="false" outlineLevel="0" collapsed="false">
      <c r="A31" s="9" t="s">
        <v>200</v>
      </c>
      <c r="B31" s="8" t="s">
        <v>198</v>
      </c>
      <c r="C31" s="8" t="n">
        <v>28</v>
      </c>
      <c r="D31" s="11" t="n">
        <v>0.524</v>
      </c>
      <c r="E31" s="11" t="n">
        <v>0.182</v>
      </c>
      <c r="F31" s="11" t="n">
        <v>0.057</v>
      </c>
      <c r="G31" s="11" t="n">
        <v>0.014</v>
      </c>
      <c r="H31" s="11" t="n">
        <v>0.004</v>
      </c>
      <c r="I31" s="24" t="n">
        <v>0.001</v>
      </c>
    </row>
    <row r="32" customFormat="false" ht="15" hidden="false" customHeight="false" outlineLevel="0" collapsed="false">
      <c r="A32" s="9" t="s">
        <v>159</v>
      </c>
      <c r="B32" s="8" t="s">
        <v>157</v>
      </c>
      <c r="C32" s="8" t="n">
        <v>29</v>
      </c>
      <c r="D32" s="11" t="n">
        <v>0.764</v>
      </c>
      <c r="E32" s="11" t="n">
        <v>0.2</v>
      </c>
      <c r="F32" s="11" t="n">
        <v>0.075</v>
      </c>
      <c r="G32" s="11" t="n">
        <v>0.019</v>
      </c>
      <c r="H32" s="11" t="n">
        <v>0.004</v>
      </c>
      <c r="I32" s="24" t="n">
        <v>0</v>
      </c>
    </row>
    <row r="33" customFormat="false" ht="15" hidden="false" customHeight="false" outlineLevel="0" collapsed="false">
      <c r="A33" s="9" t="s">
        <v>173</v>
      </c>
      <c r="B33" s="8" t="s">
        <v>166</v>
      </c>
      <c r="C33" s="8" t="n">
        <v>31</v>
      </c>
      <c r="D33" s="11" t="n">
        <v>0.551</v>
      </c>
      <c r="E33" s="11" t="n">
        <v>0.215</v>
      </c>
      <c r="F33" s="11" t="n">
        <v>0.064</v>
      </c>
      <c r="G33" s="11" t="n">
        <v>0.015</v>
      </c>
      <c r="H33" s="11" t="n">
        <v>0.003</v>
      </c>
      <c r="I33" s="24" t="n">
        <v>0</v>
      </c>
    </row>
    <row r="34" customFormat="false" ht="15" hidden="false" customHeight="false" outlineLevel="0" collapsed="false">
      <c r="A34" s="9" t="s">
        <v>185</v>
      </c>
      <c r="B34" s="8" t="s">
        <v>179</v>
      </c>
      <c r="C34" s="8" t="n">
        <v>34</v>
      </c>
      <c r="D34" s="11" t="n">
        <v>0.554</v>
      </c>
      <c r="E34" s="11" t="n">
        <v>0.172</v>
      </c>
      <c r="F34" s="11" t="n">
        <v>0.051</v>
      </c>
      <c r="G34" s="11" t="n">
        <v>0.011</v>
      </c>
      <c r="H34" s="11" t="n">
        <v>0.002</v>
      </c>
      <c r="I34" s="24" t="n">
        <v>0</v>
      </c>
    </row>
    <row r="35" customFormat="false" ht="15" hidden="false" customHeight="false" outlineLevel="0" collapsed="false">
      <c r="A35" s="9" t="s">
        <v>109</v>
      </c>
      <c r="B35" s="8" t="s">
        <v>103</v>
      </c>
      <c r="C35" s="8" t="n">
        <v>42</v>
      </c>
      <c r="D35" s="11" t="n">
        <v>0.759</v>
      </c>
      <c r="E35" s="11" t="n">
        <v>0.197</v>
      </c>
      <c r="F35" s="11" t="n">
        <v>0.038</v>
      </c>
      <c r="G35" s="11" t="n">
        <v>0.009</v>
      </c>
      <c r="H35" s="11" t="n">
        <v>0.001</v>
      </c>
      <c r="I35" s="24" t="n">
        <v>0</v>
      </c>
    </row>
    <row r="36" customFormat="false" ht="15" hidden="false" customHeight="false" outlineLevel="0" collapsed="false">
      <c r="A36" s="9" t="s">
        <v>55</v>
      </c>
      <c r="B36" s="8" t="s">
        <v>43</v>
      </c>
      <c r="C36" s="8" t="n">
        <v>40</v>
      </c>
      <c r="D36" s="11" t="n">
        <v>0.431</v>
      </c>
      <c r="E36" s="11" t="n">
        <v>0.122</v>
      </c>
      <c r="F36" s="11" t="n">
        <v>0.025</v>
      </c>
      <c r="G36" s="11" t="n">
        <v>0.005</v>
      </c>
      <c r="H36" s="11" t="n">
        <v>0.001</v>
      </c>
      <c r="I36" s="24" t="n">
        <v>0</v>
      </c>
    </row>
    <row r="37" customFormat="false" ht="15" hidden="false" customHeight="false" outlineLevel="0" collapsed="false">
      <c r="A37" s="9" t="s">
        <v>141</v>
      </c>
      <c r="B37" s="8" t="s">
        <v>135</v>
      </c>
      <c r="C37" s="8" t="n">
        <v>45</v>
      </c>
      <c r="D37" s="11" t="n">
        <v>0.125</v>
      </c>
      <c r="E37" s="11" t="n">
        <v>0.032</v>
      </c>
      <c r="F37" s="11" t="n">
        <v>0.008</v>
      </c>
      <c r="G37" s="11" t="n">
        <v>0.001</v>
      </c>
      <c r="H37" s="11" t="n">
        <v>0</v>
      </c>
      <c r="I37" s="24" t="n">
        <v>0</v>
      </c>
    </row>
    <row r="38" customFormat="false" ht="15" hidden="false" customHeight="false" outlineLevel="0" collapsed="false">
      <c r="A38" s="9" t="s">
        <v>90</v>
      </c>
      <c r="B38" s="8" t="s">
        <v>88</v>
      </c>
      <c r="C38" s="8" t="n">
        <v>41</v>
      </c>
      <c r="D38" s="11" t="n">
        <v>0.288</v>
      </c>
      <c r="E38" s="11" t="n">
        <v>0.065</v>
      </c>
      <c r="F38" s="11" t="n">
        <v>0.018</v>
      </c>
      <c r="G38" s="11" t="n">
        <v>0.003</v>
      </c>
      <c r="H38" s="11" t="n">
        <v>0</v>
      </c>
      <c r="I38" s="24" t="n">
        <v>0</v>
      </c>
    </row>
    <row r="39" customFormat="false" ht="15" hidden="false" customHeight="false" outlineLevel="0" collapsed="false">
      <c r="A39" s="9" t="s">
        <v>172</v>
      </c>
      <c r="B39" s="8" t="s">
        <v>166</v>
      </c>
      <c r="C39" s="8" t="n">
        <v>57</v>
      </c>
      <c r="D39" s="11" t="n">
        <v>0.292</v>
      </c>
      <c r="E39" s="11" t="n">
        <v>0.075</v>
      </c>
      <c r="F39" s="11" t="n">
        <v>0.013</v>
      </c>
      <c r="G39" s="11" t="n">
        <v>0.002</v>
      </c>
      <c r="H39" s="11" t="n">
        <v>0</v>
      </c>
      <c r="I39" s="24" t="n">
        <v>0</v>
      </c>
    </row>
    <row r="40" customFormat="false" ht="15" hidden="false" customHeight="false" outlineLevel="0" collapsed="false">
      <c r="A40" s="9" t="s">
        <v>192</v>
      </c>
      <c r="B40" s="8" t="s">
        <v>190</v>
      </c>
      <c r="C40" s="8" t="n">
        <v>46</v>
      </c>
      <c r="D40" s="11" t="n">
        <v>0.435</v>
      </c>
      <c r="E40" s="11" t="n">
        <v>0.1</v>
      </c>
      <c r="F40" s="11" t="n">
        <v>0.021</v>
      </c>
      <c r="G40" s="11" t="n">
        <v>0.003</v>
      </c>
      <c r="H40" s="11" t="n">
        <v>0</v>
      </c>
      <c r="I40" s="24" t="n">
        <v>0</v>
      </c>
    </row>
    <row r="41" customFormat="false" ht="15" hidden="false" customHeight="false" outlineLevel="0" collapsed="false">
      <c r="A41" s="9" t="s">
        <v>194</v>
      </c>
      <c r="B41" s="8" t="s">
        <v>190</v>
      </c>
      <c r="C41" s="8" t="n">
        <v>50</v>
      </c>
      <c r="D41" s="11" t="n">
        <v>0.404</v>
      </c>
      <c r="E41" s="11" t="n">
        <v>0.089</v>
      </c>
      <c r="F41" s="11" t="n">
        <v>0.019</v>
      </c>
      <c r="G41" s="11" t="n">
        <v>0.003</v>
      </c>
      <c r="H41" s="11" t="n">
        <v>0</v>
      </c>
      <c r="I41" s="24" t="n">
        <v>0</v>
      </c>
    </row>
    <row r="42" customFormat="false" ht="15" hidden="false" customHeight="false" outlineLevel="0" collapsed="false">
      <c r="A42" s="9" t="s">
        <v>48</v>
      </c>
      <c r="B42" s="8" t="s">
        <v>43</v>
      </c>
      <c r="C42" s="8" t="n">
        <v>60</v>
      </c>
      <c r="D42" s="11" t="n">
        <v>0.308</v>
      </c>
      <c r="E42" s="11" t="n">
        <v>0.076</v>
      </c>
      <c r="F42" s="11" t="n">
        <v>0.013</v>
      </c>
      <c r="G42" s="11" t="n">
        <v>0.002</v>
      </c>
      <c r="H42" s="11" t="n">
        <v>0</v>
      </c>
      <c r="I42" s="24" t="n">
        <v>0</v>
      </c>
    </row>
    <row r="43" customFormat="false" ht="15" hidden="false" customHeight="false" outlineLevel="0" collapsed="false">
      <c r="A43" s="9" t="s">
        <v>75</v>
      </c>
      <c r="B43" s="8" t="s">
        <v>71</v>
      </c>
      <c r="C43" s="8" t="n">
        <v>64</v>
      </c>
      <c r="D43" s="11" t="n">
        <v>0.499</v>
      </c>
      <c r="E43" s="11" t="n">
        <v>0.123</v>
      </c>
      <c r="F43" s="11" t="n">
        <v>0.019</v>
      </c>
      <c r="G43" s="11" t="n">
        <v>0.003</v>
      </c>
      <c r="H43" s="11" t="n">
        <v>0</v>
      </c>
      <c r="I43" s="24" t="n">
        <v>0</v>
      </c>
    </row>
    <row r="44" customFormat="false" ht="15" hidden="false" customHeight="false" outlineLevel="0" collapsed="false">
      <c r="A44" s="9" t="s">
        <v>79</v>
      </c>
      <c r="B44" s="8" t="s">
        <v>71</v>
      </c>
      <c r="C44" s="8" t="n">
        <v>56</v>
      </c>
      <c r="D44" s="11" t="n">
        <v>0.577</v>
      </c>
      <c r="E44" s="11" t="n">
        <v>0.159</v>
      </c>
      <c r="F44" s="11" t="n">
        <v>0.029</v>
      </c>
      <c r="G44" s="11" t="n">
        <v>0.003</v>
      </c>
      <c r="H44" s="11" t="n">
        <v>0</v>
      </c>
      <c r="I44" s="24" t="n">
        <v>0</v>
      </c>
    </row>
    <row r="45" customFormat="false" ht="15" hidden="false" customHeight="false" outlineLevel="0" collapsed="false">
      <c r="A45" s="9" t="s">
        <v>108</v>
      </c>
      <c r="B45" s="8" t="s">
        <v>103</v>
      </c>
      <c r="C45" s="8" t="n">
        <v>83</v>
      </c>
      <c r="D45" s="11" t="n">
        <v>0.056</v>
      </c>
      <c r="E45" s="11" t="n">
        <v>0.006</v>
      </c>
      <c r="F45" s="11" t="n">
        <v>0.001</v>
      </c>
      <c r="G45" s="11" t="n">
        <v>0</v>
      </c>
      <c r="H45" s="11" t="n">
        <v>0</v>
      </c>
      <c r="I45" s="24" t="n">
        <v>0</v>
      </c>
    </row>
    <row r="46" customFormat="false" ht="15" hidden="false" customHeight="false" outlineLevel="0" collapsed="false">
      <c r="A46" s="9" t="s">
        <v>121</v>
      </c>
      <c r="B46" s="8" t="s">
        <v>116</v>
      </c>
      <c r="C46" s="8" t="n">
        <v>82</v>
      </c>
      <c r="D46" s="11" t="n">
        <v>0.13</v>
      </c>
      <c r="E46" s="11" t="n">
        <v>0.017</v>
      </c>
      <c r="F46" s="11" t="n">
        <v>0.002</v>
      </c>
      <c r="G46" s="11" t="n">
        <v>0</v>
      </c>
      <c r="H46" s="11" t="n">
        <v>0</v>
      </c>
      <c r="I46" s="24" t="n">
        <v>0</v>
      </c>
    </row>
    <row r="47" customFormat="false" ht="15" hidden="false" customHeight="false" outlineLevel="0" collapsed="false">
      <c r="A47" s="9" t="s">
        <v>148</v>
      </c>
      <c r="B47" s="8" t="s">
        <v>146</v>
      </c>
      <c r="C47" s="8" t="n">
        <v>61</v>
      </c>
      <c r="D47" s="11" t="n">
        <v>0.446</v>
      </c>
      <c r="E47" s="11" t="n">
        <v>0.098</v>
      </c>
      <c r="F47" s="11" t="n">
        <v>0.016</v>
      </c>
      <c r="G47" s="11" t="n">
        <v>0.002</v>
      </c>
      <c r="H47" s="11" t="n">
        <v>0</v>
      </c>
      <c r="I47" s="24" t="n">
        <v>0</v>
      </c>
    </row>
    <row r="48" customFormat="false" ht="15" hidden="false" customHeight="false" outlineLevel="0" collapsed="false">
      <c r="A48" s="9" t="s">
        <v>151</v>
      </c>
      <c r="B48" s="8" t="s">
        <v>146</v>
      </c>
      <c r="C48" s="8" t="n">
        <v>67</v>
      </c>
      <c r="D48" s="11" t="n">
        <v>0.488</v>
      </c>
      <c r="E48" s="11" t="n">
        <v>0.097</v>
      </c>
      <c r="F48" s="11" t="n">
        <v>0.014</v>
      </c>
      <c r="G48" s="11" t="n">
        <v>0.002</v>
      </c>
      <c r="H48" s="11" t="n">
        <v>0</v>
      </c>
      <c r="I48" s="24" t="n">
        <v>0</v>
      </c>
    </row>
    <row r="49" customFormat="false" ht="15" hidden="false" customHeight="false" outlineLevel="0" collapsed="false">
      <c r="A49" s="9" t="s">
        <v>161</v>
      </c>
      <c r="B49" s="8" t="s">
        <v>157</v>
      </c>
      <c r="C49" s="8" t="n">
        <v>85</v>
      </c>
      <c r="D49" s="11" t="n">
        <v>0.268</v>
      </c>
      <c r="E49" s="11" t="n">
        <v>0.023</v>
      </c>
      <c r="F49" s="11" t="n">
        <v>0.003</v>
      </c>
      <c r="G49" s="11" t="n">
        <v>0</v>
      </c>
      <c r="H49" s="11" t="n">
        <v>0</v>
      </c>
      <c r="I49" s="24" t="n">
        <v>0</v>
      </c>
    </row>
    <row r="50" customFormat="false" ht="15" hidden="false" customHeight="false" outlineLevel="0" collapsed="false">
      <c r="A50" s="9" t="s">
        <v>184</v>
      </c>
      <c r="B50" s="8" t="s">
        <v>179</v>
      </c>
      <c r="C50" s="8" t="n">
        <v>73</v>
      </c>
      <c r="D50" s="11" t="n">
        <v>0.222</v>
      </c>
      <c r="E50" s="11" t="n">
        <v>0.038</v>
      </c>
      <c r="F50" s="11" t="n">
        <v>0.005</v>
      </c>
      <c r="G50" s="11" t="n">
        <v>0</v>
      </c>
      <c r="H50" s="11" t="n">
        <v>0</v>
      </c>
      <c r="I50" s="24" t="n">
        <v>0</v>
      </c>
    </row>
    <row r="51" customFormat="false" ht="15" hidden="false" customHeight="false" outlineLevel="0" collapsed="false">
      <c r="A51" s="9" t="s">
        <v>204</v>
      </c>
      <c r="B51" s="8" t="s">
        <v>198</v>
      </c>
      <c r="C51" s="8" t="n">
        <v>63</v>
      </c>
      <c r="D51" s="11" t="n">
        <v>0.304</v>
      </c>
      <c r="E51" s="11" t="n">
        <v>0.057</v>
      </c>
      <c r="F51" s="11" t="n">
        <v>0.009</v>
      </c>
      <c r="G51" s="11" t="n">
        <v>0.001</v>
      </c>
      <c r="H51" s="11" t="n">
        <v>0</v>
      </c>
      <c r="I51" s="24" t="n">
        <v>0</v>
      </c>
    </row>
  </sheetData>
  <autoFilter ref="A3:I51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</cols>
  <sheetData>
    <row r="1" customFormat="false" ht="17.35" hidden="false" customHeight="false" outlineLevel="0" collapsed="false">
      <c r="A1" s="20" t="s">
        <v>289</v>
      </c>
    </row>
    <row r="3" customFormat="false" ht="15" hidden="false" customHeight="false" outlineLevel="0" collapsed="false">
      <c r="A3" s="0" t="s">
        <v>209</v>
      </c>
      <c r="B3" s="0" t="s">
        <v>288</v>
      </c>
    </row>
    <row r="4" customFormat="false" ht="15" hidden="false" customHeight="false" outlineLevel="0" collapsed="false">
      <c r="A4" s="0" t="s">
        <v>168</v>
      </c>
      <c r="B4" s="25" t="n">
        <v>0.2</v>
      </c>
    </row>
    <row r="5" customFormat="false" ht="15" hidden="false" customHeight="false" outlineLevel="0" collapsed="false">
      <c r="A5" s="0" t="s">
        <v>199</v>
      </c>
      <c r="B5" s="25" t="n">
        <v>0.187</v>
      </c>
    </row>
    <row r="6" customFormat="false" ht="15" hidden="false" customHeight="false" outlineLevel="0" collapsed="false">
      <c r="A6" s="0" t="s">
        <v>150</v>
      </c>
      <c r="B6" s="25" t="n">
        <v>0.154</v>
      </c>
    </row>
    <row r="7" customFormat="false" ht="15" hidden="false" customHeight="false" outlineLevel="0" collapsed="false">
      <c r="A7" s="0" t="s">
        <v>181</v>
      </c>
      <c r="B7" s="25" t="n">
        <v>0.096</v>
      </c>
    </row>
    <row r="8" customFormat="false" ht="15" hidden="false" customHeight="false" outlineLevel="0" collapsed="false">
      <c r="A8" s="0" t="s">
        <v>191</v>
      </c>
      <c r="B8" s="25" t="n">
        <v>0.044</v>
      </c>
    </row>
    <row r="9" customFormat="false" ht="15" hidden="false" customHeight="false" outlineLevel="0" collapsed="false">
      <c r="A9" s="0" t="s">
        <v>105</v>
      </c>
      <c r="B9" s="25" t="n">
        <v>0.043</v>
      </c>
    </row>
    <row r="10" customFormat="false" ht="15" hidden="false" customHeight="false" outlineLevel="0" collapsed="false">
      <c r="A10" s="0" t="s">
        <v>106</v>
      </c>
      <c r="B10" s="25" t="n">
        <v>0.039</v>
      </c>
    </row>
    <row r="11" customFormat="false" ht="15" hidden="false" customHeight="false" outlineLevel="0" collapsed="false">
      <c r="A11" s="0" t="s">
        <v>47</v>
      </c>
      <c r="B11" s="25" t="n">
        <v>0.036</v>
      </c>
    </row>
    <row r="12" customFormat="false" ht="15" hidden="false" customHeight="false" outlineLevel="0" collapsed="false">
      <c r="A12" s="0" t="s">
        <v>137</v>
      </c>
      <c r="B12" s="25" t="n">
        <v>0.035</v>
      </c>
    </row>
    <row r="13" customFormat="false" ht="15" hidden="false" customHeight="false" outlineLevel="0" collapsed="false">
      <c r="A13" s="0" t="s">
        <v>89</v>
      </c>
      <c r="B13" s="25" t="n">
        <v>0.028</v>
      </c>
    </row>
    <row r="14" customFormat="false" ht="15" hidden="false" customHeight="false" outlineLevel="0" collapsed="false">
      <c r="A14" s="0" t="s">
        <v>120</v>
      </c>
      <c r="B14" s="25" t="n">
        <v>0.028</v>
      </c>
    </row>
    <row r="15" customFormat="false" ht="15" hidden="false" customHeight="false" outlineLevel="0" collapsed="false">
      <c r="A15" s="0" t="s">
        <v>158</v>
      </c>
      <c r="B15" s="25" t="n">
        <v>0.024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</cols>
  <sheetData>
    <row r="1" customFormat="false" ht="17.35" hidden="false" customHeight="false" outlineLevel="0" collapsed="false">
      <c r="A1" s="6" t="s">
        <v>290</v>
      </c>
      <c r="B1" s="6"/>
      <c r="C1" s="6"/>
      <c r="D1" s="6"/>
    </row>
    <row r="2" customFormat="false" ht="42" hidden="false" customHeight="true" outlineLevel="0" collapsed="false">
      <c r="A2" s="26" t="s">
        <v>291</v>
      </c>
      <c r="B2" s="26"/>
      <c r="C2" s="26"/>
      <c r="D2" s="26"/>
    </row>
    <row r="4" customFormat="false" ht="15" hidden="false" customHeight="false" outlineLevel="0" collapsed="false">
      <c r="A4" s="27" t="s">
        <v>292</v>
      </c>
    </row>
    <row r="5" customFormat="false" ht="15" hidden="false" customHeight="false" outlineLevel="0" collapsed="false">
      <c r="A5" s="7" t="s">
        <v>216</v>
      </c>
      <c r="B5" s="7" t="s">
        <v>293</v>
      </c>
      <c r="C5" s="7" t="s">
        <v>294</v>
      </c>
    </row>
    <row r="6" customFormat="false" ht="15" hidden="false" customHeight="false" outlineLevel="0" collapsed="false">
      <c r="A6" s="8" t="s">
        <v>295</v>
      </c>
      <c r="B6" s="9" t="s">
        <v>120</v>
      </c>
      <c r="C6" s="10" t="s">
        <v>168</v>
      </c>
    </row>
    <row r="7" customFormat="false" ht="15" hidden="false" customHeight="false" outlineLevel="0" collapsed="false">
      <c r="A7" s="8" t="s">
        <v>296</v>
      </c>
      <c r="B7" s="9" t="s">
        <v>74</v>
      </c>
      <c r="C7" s="10" t="s">
        <v>137</v>
      </c>
    </row>
    <row r="8" customFormat="false" ht="15" hidden="false" customHeight="false" outlineLevel="0" collapsed="false">
      <c r="A8" s="8" t="s">
        <v>297</v>
      </c>
      <c r="B8" s="10" t="s">
        <v>89</v>
      </c>
      <c r="C8" s="9" t="s">
        <v>169</v>
      </c>
    </row>
    <row r="9" customFormat="false" ht="15" hidden="false" customHeight="false" outlineLevel="0" collapsed="false">
      <c r="A9" s="8" t="s">
        <v>298</v>
      </c>
      <c r="B9" s="9" t="s">
        <v>47</v>
      </c>
      <c r="C9" s="10" t="s">
        <v>199</v>
      </c>
    </row>
    <row r="10" customFormat="false" ht="15" hidden="false" customHeight="false" outlineLevel="0" collapsed="false">
      <c r="A10" s="8" t="s">
        <v>299</v>
      </c>
      <c r="B10" s="9" t="s">
        <v>195</v>
      </c>
      <c r="C10" s="10" t="s">
        <v>158</v>
      </c>
    </row>
    <row r="11" customFormat="false" ht="15" hidden="false" customHeight="false" outlineLevel="0" collapsed="false">
      <c r="A11" s="8" t="s">
        <v>300</v>
      </c>
      <c r="B11" s="9" t="s">
        <v>105</v>
      </c>
      <c r="C11" s="10" t="s">
        <v>150</v>
      </c>
    </row>
    <row r="12" customFormat="false" ht="15" hidden="false" customHeight="false" outlineLevel="0" collapsed="false">
      <c r="A12" s="8" t="s">
        <v>301</v>
      </c>
      <c r="B12" s="9" t="s">
        <v>80</v>
      </c>
      <c r="C12" s="10" t="s">
        <v>181</v>
      </c>
    </row>
    <row r="13" customFormat="false" ht="15" hidden="false" customHeight="false" outlineLevel="0" collapsed="false">
      <c r="A13" s="8" t="s">
        <v>302</v>
      </c>
      <c r="B13" s="10" t="s">
        <v>191</v>
      </c>
      <c r="C13" s="9" t="s">
        <v>106</v>
      </c>
    </row>
    <row r="15" customFormat="false" ht="15" hidden="false" customHeight="false" outlineLevel="0" collapsed="false">
      <c r="A15" s="27" t="s">
        <v>303</v>
      </c>
    </row>
    <row r="16" customFormat="false" ht="15" hidden="false" customHeight="false" outlineLevel="0" collapsed="false">
      <c r="A16" s="7" t="s">
        <v>216</v>
      </c>
      <c r="B16" s="7" t="s">
        <v>293</v>
      </c>
      <c r="C16" s="7" t="s">
        <v>294</v>
      </c>
    </row>
    <row r="17" customFormat="false" ht="15" hidden="false" customHeight="false" outlineLevel="0" collapsed="false">
      <c r="A17" s="8" t="s">
        <v>304</v>
      </c>
      <c r="B17" s="10" t="s">
        <v>168</v>
      </c>
      <c r="C17" s="9" t="s">
        <v>137</v>
      </c>
    </row>
    <row r="18" customFormat="false" ht="15" hidden="false" customHeight="false" outlineLevel="0" collapsed="false">
      <c r="A18" s="8" t="s">
        <v>305</v>
      </c>
      <c r="B18" s="9" t="s">
        <v>158</v>
      </c>
      <c r="C18" s="10" t="s">
        <v>150</v>
      </c>
    </row>
    <row r="19" customFormat="false" ht="15" hidden="false" customHeight="false" outlineLevel="0" collapsed="false">
      <c r="A19" s="8" t="s">
        <v>306</v>
      </c>
      <c r="B19" s="9" t="s">
        <v>89</v>
      </c>
      <c r="C19" s="10" t="s">
        <v>199</v>
      </c>
    </row>
    <row r="20" customFormat="false" ht="15" hidden="false" customHeight="false" outlineLevel="0" collapsed="false">
      <c r="A20" s="8" t="s">
        <v>307</v>
      </c>
      <c r="B20" s="10" t="s">
        <v>181</v>
      </c>
      <c r="C20" s="9" t="s">
        <v>191</v>
      </c>
    </row>
    <row r="22" customFormat="false" ht="15" hidden="false" customHeight="false" outlineLevel="0" collapsed="false">
      <c r="A22" s="27" t="s">
        <v>308</v>
      </c>
    </row>
    <row r="23" customFormat="false" ht="15" hidden="false" customHeight="false" outlineLevel="0" collapsed="false">
      <c r="A23" s="7" t="s">
        <v>216</v>
      </c>
      <c r="B23" s="7" t="s">
        <v>293</v>
      </c>
      <c r="C23" s="7" t="s">
        <v>294</v>
      </c>
    </row>
    <row r="24" customFormat="false" ht="15" hidden="false" customHeight="false" outlineLevel="0" collapsed="false">
      <c r="A24" s="8" t="s">
        <v>309</v>
      </c>
      <c r="B24" s="9" t="s">
        <v>168</v>
      </c>
      <c r="C24" s="10" t="s">
        <v>150</v>
      </c>
    </row>
    <row r="25" customFormat="false" ht="15" hidden="false" customHeight="false" outlineLevel="0" collapsed="false">
      <c r="A25" s="8" t="s">
        <v>310</v>
      </c>
      <c r="B25" s="10" t="s">
        <v>199</v>
      </c>
      <c r="C25" s="9" t="s">
        <v>181</v>
      </c>
    </row>
    <row r="27" customFormat="false" ht="15" hidden="false" customHeight="false" outlineLevel="0" collapsed="false">
      <c r="A27" s="27" t="s">
        <v>287</v>
      </c>
    </row>
    <row r="28" customFormat="false" ht="15" hidden="false" customHeight="false" outlineLevel="0" collapsed="false">
      <c r="A28" s="7" t="s">
        <v>216</v>
      </c>
      <c r="B28" s="7" t="s">
        <v>293</v>
      </c>
      <c r="C28" s="7" t="s">
        <v>294</v>
      </c>
    </row>
    <row r="29" customFormat="false" ht="15" hidden="false" customHeight="false" outlineLevel="0" collapsed="false">
      <c r="A29" s="8" t="s">
        <v>311</v>
      </c>
      <c r="B29" s="9" t="s">
        <v>150</v>
      </c>
      <c r="C29" s="10" t="s">
        <v>199</v>
      </c>
    </row>
    <row r="31" customFormat="false" ht="15" hidden="false" customHeight="false" outlineLevel="0" collapsed="false">
      <c r="A31" s="27" t="s">
        <v>312</v>
      </c>
    </row>
    <row r="32" customFormat="false" ht="15" hidden="false" customHeight="false" outlineLevel="0" collapsed="false">
      <c r="A32" s="7" t="s">
        <v>216</v>
      </c>
      <c r="B32" s="7" t="s">
        <v>293</v>
      </c>
      <c r="C32" s="7" t="s">
        <v>294</v>
      </c>
    </row>
    <row r="33" customFormat="false" ht="15" hidden="false" customHeight="false" outlineLevel="0" collapsed="false">
      <c r="A33" s="8" t="s">
        <v>313</v>
      </c>
      <c r="B33" s="10" t="s">
        <v>168</v>
      </c>
      <c r="C33" s="9" t="s">
        <v>181</v>
      </c>
    </row>
    <row r="35" customFormat="false" ht="16.15" hidden="false" customHeight="false" outlineLevel="0" collapsed="false">
      <c r="A35" s="28" t="s">
        <v>314</v>
      </c>
      <c r="B35" s="28"/>
      <c r="C35" s="28"/>
    </row>
  </sheetData>
  <mergeCells count="3">
    <mergeCell ref="A1:D1"/>
    <mergeCell ref="A2:D2"/>
    <mergeCell ref="A35:C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2026-06-17T04:08:57Z</dcterms:created>
  <dc:creator>openpyxl</dc:creator>
  <dc:description/>
  <dc:language>en-US</dc:language>
  <cp:lastModifiedBy/>
  <dcterms:modified xsi:type="dcterms:W3CDTF">2026-06-17T04:08:59Z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