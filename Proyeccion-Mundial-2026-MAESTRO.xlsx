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Partidos A-L" sheetId="2" state="visible" r:id="rId2"/>
    <sheet name="Avance Montecarlo" sheetId="3" state="visible" r:id="rId3"/>
    <sheet name="Gráficos avance" sheetId="4" state="visible" r:id="rId4"/>
    <sheet name="Cuadro R32" sheetId="5" state="visible" r:id="rId5"/>
    <sheet name="Camino a la final" sheetId="6" state="visible" r:id="rId6"/>
    <sheet name="Favoritos" sheetId="7" state="visible" r:id="rId7"/>
    <sheet name="Cuadro octavos-final" sheetId="8" state="visible" r:id="rId8"/>
  </sheets>
  <definedNames>
    <definedName name="_xlnm._FilterDatabase" localSheetId="1" hidden="1">'Partidos A-L'!$A$3:$R$75</definedName>
    <definedName name="_xlnm._FilterDatabase" localSheetId="2" hidden="1">'Avance Montecarlo'!$A$3:$G$51</definedName>
    <definedName name="_xlnm._FilterDatabase" localSheetId="5" hidden="1">'Camino a la final'!$A$3:$I$51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sz val="18"/>
    </font>
    <font>
      <name val="Arial"/>
      <i val="1"/>
      <color rgb="00595959"/>
      <sz val="11"/>
    </font>
    <font>
      <name val="Arial"/>
      <b val="1"/>
      <sz val="10"/>
    </font>
    <font>
      <name val="Arial"/>
      <sz val="10"/>
    </font>
    <font>
      <name val="Arial"/>
      <b val="1"/>
      <sz val="12"/>
    </font>
    <font>
      <name val="Arial"/>
      <b val="1"/>
      <sz val="14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7F7F7F"/>
      <sz val="11"/>
    </font>
    <font>
      <name val="Arial"/>
      <b val="1"/>
      <color rgb="001F3864"/>
      <sz val="11"/>
    </font>
    <font>
      <name val="Arial"/>
      <b val="1"/>
      <color rgb="00006100"/>
      <sz val="11"/>
    </font>
    <font>
      <name val="Arial"/>
      <b val="1"/>
      <color rgb="009C6500"/>
      <sz val="11"/>
    </font>
    <font>
      <name val="Arial"/>
      <b val="1"/>
      <color rgb="009C0006"/>
      <sz val="11"/>
    </font>
    <font>
      <name val="Arial"/>
      <b val="1"/>
      <color rgb="00000000"/>
      <sz val="11"/>
    </font>
    <font>
      <name val="Arial"/>
      <i val="1"/>
      <color rgb="00595959"/>
      <sz val="9"/>
    </font>
    <font>
      <name val="Arial"/>
      <b val="1"/>
      <color rgb="001F3864"/>
      <sz val="12"/>
    </font>
    <font>
      <name val="Arial"/>
      <b val="1"/>
      <color rgb="00006100"/>
      <sz val="13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left" vertical="center"/>
    </xf>
    <xf numFmtId="9" fontId="8" fillId="0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9" fontId="11" fillId="3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/>
    </xf>
    <xf numFmtId="9" fontId="13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9" fontId="12" fillId="4" borderId="1" applyAlignment="1" pivotButton="0" quotePrefix="0" xfId="0">
      <alignment horizontal="center" vertical="center"/>
    </xf>
    <xf numFmtId="9" fontId="14" fillId="0" borderId="1" applyAlignment="1" pivotButton="0" quotePrefix="0" xfId="0">
      <alignment horizontal="center" vertical="center"/>
    </xf>
    <xf numFmtId="0" fontId="15" fillId="0" borderId="0" pivotButton="0" quotePrefix="0" xfId="0"/>
    <xf numFmtId="0" fontId="0" fillId="0" borderId="1" applyAlignment="1" pivotButton="0" quotePrefix="0" xfId="0">
      <alignment horizontal="left" vertical="center"/>
    </xf>
    <xf numFmtId="9" fontId="0" fillId="0" borderId="1" applyAlignment="1" pivotButton="0" quotePrefix="0" xfId="0">
      <alignment horizontal="center" vertical="center"/>
    </xf>
    <xf numFmtId="0" fontId="15" fillId="0" borderId="0" applyAlignment="1" pivotButton="0" quotePrefix="0" xfId="0">
      <alignment vertical="top" wrapText="1"/>
    </xf>
    <xf numFmtId="0" fontId="16" fillId="0" borderId="0" pivotButton="0" quotePrefix="0" xfId="0"/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Grupo A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'Avance Montecarlo'!$B$4:$B$7</f>
            </numRef>
          </cat>
          <val>
            <numRef>
              <f>'Avance Montecarlo'!$G$4:$G$7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Grupo B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'Avance Montecarlo'!$B$8:$B$11</f>
            </numRef>
          </cat>
          <val>
            <numRef>
              <f>'Avance Montecarlo'!$G$8:$G$11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Grupo C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'Avance Montecarlo'!$B$12:$B$15</f>
            </numRef>
          </cat>
          <val>
            <numRef>
              <f>'Avance Montecarlo'!$G$12:$G$15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Grupo D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'Avance Montecarlo'!$B$16:$B$19</f>
            </numRef>
          </cat>
          <val>
            <numRef>
              <f>'Avance Montecarlo'!$G$16:$G$19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Grupo 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'Avance Montecarlo'!$B$20:$B$23</f>
            </numRef>
          </cat>
          <val>
            <numRef>
              <f>'Avance Montecarlo'!$G$20:$G$23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Grupo F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'Avance Montecarlo'!$B$24:$B$27</f>
            </numRef>
          </cat>
          <val>
            <numRef>
              <f>'Avance Montecarlo'!$G$24:$G$27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Grupo G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'Avance Montecarlo'!$B$28:$B$31</f>
            </numRef>
          </cat>
          <val>
            <numRef>
              <f>'Avance Montecarlo'!$G$28:$G$31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Grupo 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'Avance Montecarlo'!$B$32:$B$35</f>
            </numRef>
          </cat>
          <val>
            <numRef>
              <f>'Avance Montecarlo'!$G$32:$G$35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Grupo I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'Avance Montecarlo'!$B$36:$B$39</f>
            </numRef>
          </cat>
          <val>
            <numRef>
              <f>'Avance Montecarlo'!$G$36:$G$39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Grupo J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'Avance Montecarlo'!$B$40:$B$43</f>
            </numRef>
          </cat>
          <val>
            <numRef>
              <f>'Avance Montecarlo'!$G$40:$G$43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Grupo K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'Avance Montecarlo'!$B$44:$B$47</f>
            </numRef>
          </cat>
          <val>
            <numRef>
              <f>'Avance Montecarlo'!$G$44:$G$47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Grupo L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'Avance Montecarlo'!$B$48:$B$51</f>
            </numRef>
          </cat>
          <val>
            <numRef>
              <f>'Avance Montecarlo'!$G$48:$G$51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Probabilidad de campeón (mezcla)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>
              <a:prstDash val="solid"/>
            </a:ln>
          </spPr>
          <cat>
            <numRef>
              <f>'Favoritos'!$A$4:$A$15</f>
            </numRef>
          </cat>
          <val>
            <numRef>
              <f>'Favoritos'!$D$4:$D$15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0%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3600000" cy="223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</row>
      <rowOff>0</rowOff>
    </from>
    <ext cx="3600000" cy="223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15</row>
      <rowOff>0</rowOff>
    </from>
    <ext cx="3600000" cy="223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15</row>
      <rowOff>0</rowOff>
    </from>
    <ext cx="3600000" cy="223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</col>
      <colOff>0</colOff>
      <row>28</row>
      <rowOff>0</rowOff>
    </from>
    <ext cx="3600000" cy="2232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11</col>
      <colOff>0</colOff>
      <row>28</row>
      <rowOff>0</rowOff>
    </from>
    <ext cx="3600000" cy="2232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41</row>
      <rowOff>0</rowOff>
    </from>
    <ext cx="3600000" cy="2232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11</col>
      <colOff>0</colOff>
      <row>41</row>
      <rowOff>0</rowOff>
    </from>
    <ext cx="3600000" cy="2232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</col>
      <colOff>0</colOff>
      <row>54</row>
      <rowOff>0</rowOff>
    </from>
    <ext cx="3600000" cy="2232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11</col>
      <colOff>0</colOff>
      <row>54</row>
      <rowOff>0</rowOff>
    </from>
    <ext cx="3600000" cy="2232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1</col>
      <colOff>0</colOff>
      <row>67</row>
      <rowOff>0</rowOff>
    </from>
    <ext cx="3600000" cy="2232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11</col>
      <colOff>0</colOff>
      <row>67</row>
      <rowOff>0</rowOff>
    </from>
    <ext cx="3600000" cy="2232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Proyección Mundial 2026 — Archivo maestro</t>
        </is>
      </c>
    </row>
    <row r="2">
      <c r="A2" s="2" t="inlineStr">
        <is>
          <t>Modelo basado en el ranking FIFA del 11 de junio de 2026</t>
        </is>
      </c>
    </row>
    <row r="4">
      <c r="A4" s="3" t="inlineStr"/>
      <c r="B4" s="4" t="inlineStr"/>
    </row>
    <row r="5">
      <c r="A5" s="5" t="inlineStr">
        <is>
          <t>Contenido del archivo</t>
        </is>
      </c>
      <c r="B5" s="4" t="inlineStr"/>
    </row>
    <row r="6">
      <c r="A6" s="3" t="inlineStr">
        <is>
          <t>1. Partidos A-L</t>
        </is>
      </c>
      <c r="B6" s="4" t="inlineStr">
        <is>
          <t>Proyección de los 72 partidos de grupos: probabilidad de victoria/empate/derrota, marcador más probable y ganador.</t>
        </is>
      </c>
    </row>
    <row r="7">
      <c r="A7" s="3" t="inlineStr">
        <is>
          <t>2. Avance Montecarlo</t>
        </is>
      </c>
      <c r="B7" s="4" t="inlineStr">
        <is>
          <t>Probabilidad de cada selección de ganar su grupo y de avanzar (20.000 torneos simulados).</t>
        </is>
      </c>
    </row>
    <row r="8">
      <c r="A8" s="3" t="inlineStr">
        <is>
          <t>3. Gráficos avance</t>
        </is>
      </c>
      <c r="B8" s="4" t="inlineStr">
        <is>
          <t>Barras de probabilidad de avanzar por grupo.</t>
        </is>
      </c>
    </row>
    <row r="9">
      <c r="A9" s="3" t="inlineStr">
        <is>
          <t>4. Cuadro R32</t>
        </is>
      </c>
      <c r="B9" s="4" t="inlineStr">
        <is>
          <t>Dieciseisavos emparejados con los clasificados más probables (estructura oficial FIFA).</t>
        </is>
      </c>
    </row>
    <row r="10">
      <c r="A10" s="3" t="inlineStr">
        <is>
          <t>5. Camino a la final</t>
        </is>
      </c>
      <c r="B10" s="4" t="inlineStr">
        <is>
          <t>Probabilidad de llegar a octavos, cuartos, semis, final y de ser campeón.</t>
        </is>
      </c>
    </row>
    <row r="11">
      <c r="A11" s="3" t="inlineStr">
        <is>
          <t>6. Favoritos</t>
        </is>
      </c>
      <c r="B11" s="4" t="inlineStr">
        <is>
          <t>Gráfico de los 12 candidatos al título.</t>
        </is>
      </c>
    </row>
    <row r="12">
      <c r="A12" s="3" t="inlineStr"/>
      <c r="B12" s="4" t="inlineStr"/>
    </row>
    <row r="13">
      <c r="A13" s="5" t="inlineStr">
        <is>
          <t>Metodología</t>
        </is>
      </c>
      <c r="B13" s="4" t="inlineStr"/>
    </row>
    <row r="14">
      <c r="A14" s="3" t="inlineStr">
        <is>
          <t>Puntos</t>
        </is>
      </c>
      <c r="B14" s="4" t="inlineStr">
        <is>
          <t>Cada posición FIFA se convierte en puntos aproximados; la diferencia alimenta una fórmula tipo Elo (divisor 600).</t>
        </is>
      </c>
    </row>
    <row r="15">
      <c r="A15" s="3" t="inlineStr">
        <is>
          <t>Goles</t>
        </is>
      </c>
      <c r="B15" s="4" t="inlineStr">
        <is>
          <t>Del desbalance se derivan goles esperados y se modelan con Poisson (media 2.6 goles/partido).</t>
        </is>
      </c>
    </row>
    <row r="16">
      <c r="A16" s="3" t="inlineStr">
        <is>
          <t>Anfitriones</t>
        </is>
      </c>
      <c r="B16" s="4" t="inlineStr">
        <is>
          <t>Ventaja de +60 puntos solo a México, EE.UU. y Canadá en sus partidos.</t>
        </is>
      </c>
    </row>
    <row r="17">
      <c r="A17" s="3" t="inlineStr">
        <is>
          <t>Simulación</t>
        </is>
      </c>
      <c r="B17" s="4" t="inlineStr">
        <is>
          <t>20.000 torneos completos con puntos 3/1/0, desempates oficiales y penales por fuerza relativa.</t>
        </is>
      </c>
    </row>
    <row r="18">
      <c r="A18" s="3" t="inlineStr"/>
      <c r="B18" s="4" t="inlineStr"/>
    </row>
    <row r="19">
      <c r="A19" s="5" t="inlineStr">
        <is>
          <t>Advertencias</t>
        </is>
      </c>
      <c r="B19" s="4" t="inlineStr">
        <is>
          <t>Es una estimación probabilística reproducible, NO un pronóstico fiable. Solo usa el ranking: ignora lesiones, forma y bajas. Los cruces de octavos en adelante usan el orden estándar del cuadro.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0" customWidth="1" min="3" max="3"/>
    <col width="30" customWidth="1" min="4" max="4"/>
    <col width="20" customWidth="1" min="5" max="5"/>
    <col width="8" customWidth="1" min="6" max="6"/>
    <col width="20" customWidth="1" min="7" max="7"/>
    <col width="8" customWidth="1" min="8" max="8"/>
    <col width="12" customWidth="1" min="9" max="9"/>
    <col width="11" customWidth="1" min="10" max="10"/>
    <col width="12" customWidth="1" min="11" max="11"/>
    <col width="13" customWidth="1" min="12" max="12"/>
    <col width="12" customWidth="1" min="13" max="13"/>
    <col width="22" customWidth="1" min="14" max="14"/>
    <col width="20" customWidth="1" min="15" max="15"/>
    <col width="12" customWidth="1" min="16" max="16"/>
    <col width="13" customWidth="1" min="17" max="17"/>
    <col width="13" customWidth="1" min="18" max="18"/>
  </cols>
  <sheetData>
    <row r="1">
      <c r="A1" s="6" t="inlineStr">
        <is>
          <t>Resultados reales y proyección — 72 partidos de grupos (hora de Ciudad de México)</t>
        </is>
      </c>
    </row>
    <row r="3">
      <c r="A3" s="7" t="inlineStr">
        <is>
          <t>Grupo</t>
        </is>
      </c>
      <c r="B3" s="7" t="inlineStr">
        <is>
          <t>Fecha</t>
        </is>
      </c>
      <c r="C3" s="7" t="inlineStr">
        <is>
          <t>Hora (CDMX)</t>
        </is>
      </c>
      <c r="D3" s="7" t="inlineStr">
        <is>
          <t>Estadio</t>
        </is>
      </c>
      <c r="E3" s="7" t="inlineStr">
        <is>
          <t>Local</t>
        </is>
      </c>
      <c r="F3" s="7" t="inlineStr">
        <is>
          <t>Rank L</t>
        </is>
      </c>
      <c r="G3" s="7" t="inlineStr">
        <is>
          <t>Visitante</t>
        </is>
      </c>
      <c r="H3" s="7" t="inlineStr">
        <is>
          <t>Rank V</t>
        </is>
      </c>
      <c r="I3" s="7" t="inlineStr">
        <is>
          <t>Dif. ranking</t>
        </is>
      </c>
      <c r="J3" s="7" t="inlineStr">
        <is>
          <t>Prob. Local</t>
        </is>
      </c>
      <c r="K3" s="7" t="inlineStr">
        <is>
          <t>Prob. Empate</t>
        </is>
      </c>
      <c r="L3" s="7" t="inlineStr">
        <is>
          <t>Prob. Visitante</t>
        </is>
      </c>
      <c r="M3" s="7" t="inlineStr">
        <is>
          <t>Marcador</t>
        </is>
      </c>
      <c r="N3" s="7" t="inlineStr">
        <is>
          <t>Pronóstico / Resultado</t>
        </is>
      </c>
      <c r="O3" s="7" t="inlineStr">
        <is>
          <t>Ganador / Empate</t>
        </is>
      </c>
      <c r="P3" s="7" t="inlineStr">
        <is>
          <t>Estado</t>
        </is>
      </c>
      <c r="Q3" s="7" t="inlineStr">
        <is>
          <t>Proy. original</t>
        </is>
      </c>
      <c r="R3" s="7" t="inlineStr">
        <is>
          <t>xG (L–V)</t>
        </is>
      </c>
    </row>
    <row r="4">
      <c r="A4" s="8" t="inlineStr">
        <is>
          <t>A</t>
        </is>
      </c>
      <c r="B4" s="8" t="inlineStr">
        <is>
          <t>11 jun</t>
        </is>
      </c>
      <c r="C4" s="8" t="inlineStr">
        <is>
          <t>13:00</t>
        </is>
      </c>
      <c r="D4" s="9" t="inlineStr">
        <is>
          <t>Estadio Azteca, Mexico City</t>
        </is>
      </c>
      <c r="E4" s="10" t="inlineStr">
        <is>
          <t>México</t>
        </is>
      </c>
      <c r="F4" s="8" t="n">
        <v>14</v>
      </c>
      <c r="G4" s="9" t="inlineStr">
        <is>
          <t>Sudáfrica</t>
        </is>
      </c>
      <c r="H4" s="8" t="n">
        <v>60</v>
      </c>
      <c r="I4" s="8">
        <f>ABS(F4-H4)</f>
        <v/>
      </c>
      <c r="J4" s="11" t="n">
        <v>0.6879999999999999</v>
      </c>
      <c r="K4" s="11" t="n">
        <v>0.212</v>
      </c>
      <c r="L4" s="11" t="n">
        <v>0.101</v>
      </c>
      <c r="M4" s="8" t="inlineStr">
        <is>
          <t>2 – 0</t>
        </is>
      </c>
      <c r="N4" s="10" t="inlineStr">
        <is>
          <t>Ganó México</t>
        </is>
      </c>
      <c r="O4" s="12" t="inlineStr">
        <is>
          <t>México</t>
        </is>
      </c>
      <c r="P4" s="13" t="inlineStr">
        <is>
          <t>FINAL</t>
        </is>
      </c>
      <c r="Q4" s="14" t="inlineStr">
        <is>
          <t>2 – 0</t>
        </is>
      </c>
      <c r="R4" s="8" t="inlineStr">
        <is>
          <t>1.41 – 0.07</t>
        </is>
      </c>
    </row>
    <row r="5">
      <c r="A5" s="8" t="inlineStr">
        <is>
          <t>A</t>
        </is>
      </c>
      <c r="B5" s="8" t="inlineStr">
        <is>
          <t>11 jun</t>
        </is>
      </c>
      <c r="C5" s="8" t="inlineStr">
        <is>
          <t>20:00</t>
        </is>
      </c>
      <c r="D5" s="9" t="inlineStr">
        <is>
          <t>Estadio Akron, Guadalajara</t>
        </is>
      </c>
      <c r="E5" s="10" t="inlineStr">
        <is>
          <t>Corea del Sur</t>
        </is>
      </c>
      <c r="F5" s="8" t="n">
        <v>25</v>
      </c>
      <c r="G5" s="9" t="inlineStr">
        <is>
          <t>República Checa</t>
        </is>
      </c>
      <c r="H5" s="8" t="n">
        <v>40</v>
      </c>
      <c r="I5" s="8">
        <f>ABS(F5-H5)</f>
        <v/>
      </c>
      <c r="J5" s="11" t="n">
        <v>0.483</v>
      </c>
      <c r="K5" s="11" t="n">
        <v>0.294</v>
      </c>
      <c r="L5" s="11" t="n">
        <v>0.223</v>
      </c>
      <c r="M5" s="8" t="inlineStr">
        <is>
          <t>2 – 1</t>
        </is>
      </c>
      <c r="N5" s="10" t="inlineStr">
        <is>
          <t>Ganó Corea del Sur</t>
        </is>
      </c>
      <c r="O5" s="12" t="inlineStr">
        <is>
          <t>Corea del Sur</t>
        </is>
      </c>
      <c r="P5" s="13" t="inlineStr">
        <is>
          <t>FINAL</t>
        </is>
      </c>
      <c r="Q5" s="14" t="inlineStr">
        <is>
          <t>1 – 1</t>
        </is>
      </c>
      <c r="R5" s="8" t="inlineStr">
        <is>
          <t>1.84 – 0.81</t>
        </is>
      </c>
    </row>
    <row r="6">
      <c r="A6" s="8" t="inlineStr">
        <is>
          <t>A</t>
        </is>
      </c>
      <c r="B6" s="8" t="inlineStr">
        <is>
          <t>18 jun</t>
        </is>
      </c>
      <c r="C6" s="8" t="inlineStr">
        <is>
          <t>10:00</t>
        </is>
      </c>
      <c r="D6" s="9" t="inlineStr">
        <is>
          <t>Mercedes-Benz Stadium, Atlanta</t>
        </is>
      </c>
      <c r="E6" s="9" t="inlineStr">
        <is>
          <t>República Checa</t>
        </is>
      </c>
      <c r="F6" s="8" t="n">
        <v>40</v>
      </c>
      <c r="G6" s="9" t="inlineStr">
        <is>
          <t>Sudáfrica</t>
        </is>
      </c>
      <c r="H6" s="8" t="n">
        <v>60</v>
      </c>
      <c r="I6" s="8">
        <f>ABS(F6-H6)</f>
        <v/>
      </c>
      <c r="J6" s="11" t="n">
        <v>0.364</v>
      </c>
      <c r="K6" s="11" t="n">
        <v>0.31</v>
      </c>
      <c r="L6" s="11" t="n">
        <v>0.326</v>
      </c>
      <c r="M6" s="15" t="inlineStr">
        <is>
          <t>1 – 1</t>
        </is>
      </c>
      <c r="N6" s="16" t="inlineStr">
        <is>
          <t>Empate</t>
        </is>
      </c>
      <c r="O6" s="15" t="inlineStr">
        <is>
          <t>Empate</t>
        </is>
      </c>
      <c r="P6" s="13" t="inlineStr">
        <is>
          <t>FINAL</t>
        </is>
      </c>
      <c r="Q6" s="14" t="inlineStr">
        <is>
          <t>1 – 1</t>
        </is>
      </c>
      <c r="R6" s="8" t="inlineStr">
        <is>
          <t>1.02 – 1.39</t>
        </is>
      </c>
    </row>
    <row r="7">
      <c r="A7" s="8" t="inlineStr">
        <is>
          <t>A</t>
        </is>
      </c>
      <c r="B7" s="8" t="inlineStr">
        <is>
          <t>18 jun</t>
        </is>
      </c>
      <c r="C7" s="8" t="inlineStr">
        <is>
          <t>19:00</t>
        </is>
      </c>
      <c r="D7" s="9" t="inlineStr">
        <is>
          <t>Estadio Akron, Guadalajara</t>
        </is>
      </c>
      <c r="E7" s="10" t="inlineStr">
        <is>
          <t>México</t>
        </is>
      </c>
      <c r="F7" s="8" t="n">
        <v>14</v>
      </c>
      <c r="G7" s="9" t="inlineStr">
        <is>
          <t>Corea del Sur</t>
        </is>
      </c>
      <c r="H7" s="8" t="n">
        <v>25</v>
      </c>
      <c r="I7" s="8">
        <f>ABS(F7-H7)</f>
        <v/>
      </c>
      <c r="J7" s="11" t="n">
        <v>0.523</v>
      </c>
      <c r="K7" s="11" t="n">
        <v>0.281</v>
      </c>
      <c r="L7" s="11" t="n">
        <v>0.196</v>
      </c>
      <c r="M7" s="8" t="inlineStr">
        <is>
          <t>1 – 0</t>
        </is>
      </c>
      <c r="N7" s="10" t="inlineStr">
        <is>
          <t>Ganó México</t>
        </is>
      </c>
      <c r="O7" s="12" t="inlineStr">
        <is>
          <t>México</t>
        </is>
      </c>
      <c r="P7" s="13" t="inlineStr">
        <is>
          <t>FINAL</t>
        </is>
      </c>
      <c r="Q7" s="14" t="inlineStr">
        <is>
          <t>1 – 0</t>
        </is>
      </c>
      <c r="R7" s="8" t="inlineStr">
        <is>
          <t>0.48 – 0.69</t>
        </is>
      </c>
    </row>
    <row r="8">
      <c r="A8" s="8" t="inlineStr">
        <is>
          <t>A</t>
        </is>
      </c>
      <c r="B8" s="8" t="inlineStr">
        <is>
          <t>24 jun</t>
        </is>
      </c>
      <c r="C8" s="8" t="inlineStr">
        <is>
          <t>19:00</t>
        </is>
      </c>
      <c r="D8" s="9" t="inlineStr">
        <is>
          <t>Estadio Azteca, Mexico City</t>
        </is>
      </c>
      <c r="E8" s="9" t="inlineStr">
        <is>
          <t>República Checa</t>
        </is>
      </c>
      <c r="F8" s="8" t="n">
        <v>40</v>
      </c>
      <c r="G8" s="10" t="inlineStr">
        <is>
          <t>México</t>
        </is>
      </c>
      <c r="H8" s="8" t="n">
        <v>14</v>
      </c>
      <c r="I8" s="8">
        <f>ABS(F8-H8)</f>
        <v/>
      </c>
      <c r="J8" s="11" t="n">
        <v>0.109</v>
      </c>
      <c r="K8" s="11" t="n">
        <v>0.213</v>
      </c>
      <c r="L8" s="11" t="n">
        <v>0.678</v>
      </c>
      <c r="M8" s="8" t="inlineStr">
        <is>
          <t>0 – 3</t>
        </is>
      </c>
      <c r="N8" s="10" t="inlineStr">
        <is>
          <t>Ganó México</t>
        </is>
      </c>
      <c r="O8" s="12" t="inlineStr">
        <is>
          <t>México</t>
        </is>
      </c>
      <c r="P8" s="13" t="inlineStr">
        <is>
          <t>FINAL</t>
        </is>
      </c>
      <c r="Q8" s="14" t="inlineStr">
        <is>
          <t>0 – 1</t>
        </is>
      </c>
      <c r="R8" s="8" t="inlineStr">
        <is>
          <t>0.47 – 1.79</t>
        </is>
      </c>
    </row>
    <row r="9">
      <c r="A9" s="8" t="inlineStr">
        <is>
          <t>A</t>
        </is>
      </c>
      <c r="B9" s="8" t="inlineStr">
        <is>
          <t>24 jun</t>
        </is>
      </c>
      <c r="C9" s="8" t="inlineStr">
        <is>
          <t>19:00</t>
        </is>
      </c>
      <c r="D9" s="9" t="inlineStr">
        <is>
          <t>Estadio BBVA, Monterrey</t>
        </is>
      </c>
      <c r="E9" s="10" t="inlineStr">
        <is>
          <t>Sudáfrica</t>
        </is>
      </c>
      <c r="F9" s="8" t="n">
        <v>60</v>
      </c>
      <c r="G9" s="9" t="inlineStr">
        <is>
          <t>Corea del Sur</t>
        </is>
      </c>
      <c r="H9" s="8" t="n">
        <v>25</v>
      </c>
      <c r="I9" s="8">
        <f>ABS(F9-H9)</f>
        <v/>
      </c>
      <c r="J9" s="11" t="n">
        <v>0.208</v>
      </c>
      <c r="K9" s="11" t="n">
        <v>0.296</v>
      </c>
      <c r="L9" s="11" t="n">
        <v>0.496</v>
      </c>
      <c r="M9" s="8" t="inlineStr">
        <is>
          <t>1 – 0</t>
        </is>
      </c>
      <c r="N9" s="10" t="inlineStr">
        <is>
          <t>Ganó Sudáfrica</t>
        </is>
      </c>
      <c r="O9" s="12" t="inlineStr">
        <is>
          <t>Sudáfrica</t>
        </is>
      </c>
      <c r="P9" s="13" t="inlineStr">
        <is>
          <t>FINAL</t>
        </is>
      </c>
      <c r="Q9" s="14" t="inlineStr">
        <is>
          <t>0 – 1</t>
        </is>
      </c>
      <c r="R9" s="8" t="inlineStr">
        <is>
          <t>1.10 – 1.00</t>
        </is>
      </c>
    </row>
    <row r="10">
      <c r="A10" s="8" t="inlineStr">
        <is>
          <t>B</t>
        </is>
      </c>
      <c r="B10" s="8" t="inlineStr">
        <is>
          <t>12 jun</t>
        </is>
      </c>
      <c r="C10" s="8" t="inlineStr">
        <is>
          <t>13:00</t>
        </is>
      </c>
      <c r="D10" s="9" t="inlineStr">
        <is>
          <t>BMO Field, Toronto</t>
        </is>
      </c>
      <c r="E10" s="9" t="inlineStr">
        <is>
          <t>Canadá</t>
        </is>
      </c>
      <c r="F10" s="8" t="n">
        <v>30</v>
      </c>
      <c r="G10" s="9" t="inlineStr">
        <is>
          <t>Bosnia y Herzegovina</t>
        </is>
      </c>
      <c r="H10" s="8" t="n">
        <v>64</v>
      </c>
      <c r="I10" s="8">
        <f>ABS(F10-H10)</f>
        <v/>
      </c>
      <c r="J10" s="11" t="n">
        <v>0.62</v>
      </c>
      <c r="K10" s="11" t="n">
        <v>0.231</v>
      </c>
      <c r="L10" s="11" t="n">
        <v>0.15</v>
      </c>
      <c r="M10" s="15" t="inlineStr">
        <is>
          <t>1 – 1</t>
        </is>
      </c>
      <c r="N10" s="16" t="inlineStr">
        <is>
          <t>Empate</t>
        </is>
      </c>
      <c r="O10" s="15" t="inlineStr">
        <is>
          <t>Empate</t>
        </is>
      </c>
      <c r="P10" s="13" t="inlineStr">
        <is>
          <t>FINAL</t>
        </is>
      </c>
      <c r="Q10" s="14" t="inlineStr">
        <is>
          <t>1 – 0</t>
        </is>
      </c>
      <c r="R10" s="8" t="inlineStr">
        <is>
          <t>1.25 – 0.98</t>
        </is>
      </c>
    </row>
    <row r="11">
      <c r="A11" s="8" t="inlineStr">
        <is>
          <t>B</t>
        </is>
      </c>
      <c r="B11" s="8" t="inlineStr">
        <is>
          <t>13 jun</t>
        </is>
      </c>
      <c r="C11" s="8" t="inlineStr">
        <is>
          <t>13:00</t>
        </is>
      </c>
      <c r="D11" s="9" t="inlineStr">
        <is>
          <t>Levi's Stadium, San Francisco Bay Area</t>
        </is>
      </c>
      <c r="E11" s="9" t="inlineStr">
        <is>
          <t>Catar</t>
        </is>
      </c>
      <c r="F11" s="8" t="n">
        <v>56</v>
      </c>
      <c r="G11" s="9" t="inlineStr">
        <is>
          <t>Suiza</t>
        </is>
      </c>
      <c r="H11" s="8" t="n">
        <v>19</v>
      </c>
      <c r="I11" s="8">
        <f>ABS(F11-H11)</f>
        <v/>
      </c>
      <c r="J11" s="11" t="n">
        <v>0.067</v>
      </c>
      <c r="K11" s="11" t="n">
        <v>0.156</v>
      </c>
      <c r="L11" s="11" t="n">
        <v>0.777</v>
      </c>
      <c r="M11" s="15" t="inlineStr">
        <is>
          <t>1 – 1</t>
        </is>
      </c>
      <c r="N11" s="16" t="inlineStr">
        <is>
          <t>Empate</t>
        </is>
      </c>
      <c r="O11" s="15" t="inlineStr">
        <is>
          <t>Empate</t>
        </is>
      </c>
      <c r="P11" s="13" t="inlineStr">
        <is>
          <t>FINAL</t>
        </is>
      </c>
      <c r="Q11" s="14" t="inlineStr">
        <is>
          <t>0 – 1</t>
        </is>
      </c>
      <c r="R11" s="8" t="inlineStr">
        <is>
          <t>0.76 – 3.24</t>
        </is>
      </c>
    </row>
    <row r="12">
      <c r="A12" s="8" t="inlineStr">
        <is>
          <t>B</t>
        </is>
      </c>
      <c r="B12" s="8" t="inlineStr">
        <is>
          <t>18 jun</t>
        </is>
      </c>
      <c r="C12" s="8" t="inlineStr">
        <is>
          <t>13:00</t>
        </is>
      </c>
      <c r="D12" s="9" t="inlineStr">
        <is>
          <t>SoFi Stadium, Los Angeles</t>
        </is>
      </c>
      <c r="E12" s="10" t="inlineStr">
        <is>
          <t>Suiza</t>
        </is>
      </c>
      <c r="F12" s="8" t="n">
        <v>19</v>
      </c>
      <c r="G12" s="9" t="inlineStr">
        <is>
          <t>Bosnia y Herzegovina</t>
        </is>
      </c>
      <c r="H12" s="8" t="n">
        <v>64</v>
      </c>
      <c r="I12" s="8">
        <f>ABS(F12-H12)</f>
        <v/>
      </c>
      <c r="J12" s="11" t="n">
        <v>0.583</v>
      </c>
      <c r="K12" s="11" t="n">
        <v>0.269</v>
      </c>
      <c r="L12" s="11" t="n">
        <v>0.148</v>
      </c>
      <c r="M12" s="8" t="inlineStr">
        <is>
          <t>4 – 1</t>
        </is>
      </c>
      <c r="N12" s="10" t="inlineStr">
        <is>
          <t>Ganó Suiza</t>
        </is>
      </c>
      <c r="O12" s="12" t="inlineStr">
        <is>
          <t>Suiza</t>
        </is>
      </c>
      <c r="P12" s="13" t="inlineStr">
        <is>
          <t>FINAL</t>
        </is>
      </c>
      <c r="Q12" s="14" t="inlineStr">
        <is>
          <t>1 – 0</t>
        </is>
      </c>
      <c r="R12" s="8" t="inlineStr">
        <is>
          <t>2.06 – 0.23</t>
        </is>
      </c>
    </row>
    <row r="13">
      <c r="A13" s="8" t="inlineStr">
        <is>
          <t>B</t>
        </is>
      </c>
      <c r="B13" s="8" t="inlineStr">
        <is>
          <t>18 jun</t>
        </is>
      </c>
      <c r="C13" s="8" t="inlineStr">
        <is>
          <t>16:00</t>
        </is>
      </c>
      <c r="D13" s="9" t="inlineStr">
        <is>
          <t>BC Place, Vancouver</t>
        </is>
      </c>
      <c r="E13" s="10" t="inlineStr">
        <is>
          <t>Canadá</t>
        </is>
      </c>
      <c r="F13" s="8" t="n">
        <v>30</v>
      </c>
      <c r="G13" s="9" t="inlineStr">
        <is>
          <t>Catar</t>
        </is>
      </c>
      <c r="H13" s="8" t="n">
        <v>56</v>
      </c>
      <c r="I13" s="8">
        <f>ABS(F13-H13)</f>
        <v/>
      </c>
      <c r="J13" s="11" t="n">
        <v>0.8169999999999999</v>
      </c>
      <c r="K13" s="11" t="n">
        <v>0.122</v>
      </c>
      <c r="L13" s="11" t="n">
        <v>0.061</v>
      </c>
      <c r="M13" s="8" t="inlineStr">
        <is>
          <t>6 – 0</t>
        </is>
      </c>
      <c r="N13" s="10" t="inlineStr">
        <is>
          <t>Ganó Canadá</t>
        </is>
      </c>
      <c r="O13" s="12" t="inlineStr">
        <is>
          <t>Canadá</t>
        </is>
      </c>
      <c r="P13" s="13" t="inlineStr">
        <is>
          <t>FINAL</t>
        </is>
      </c>
      <c r="Q13" s="14" t="inlineStr">
        <is>
          <t>1 – 0</t>
        </is>
      </c>
      <c r="R13" s="8" t="inlineStr">
        <is>
          <t>4.75 – 0.18</t>
        </is>
      </c>
    </row>
    <row r="14">
      <c r="A14" s="8" t="inlineStr">
        <is>
          <t>B</t>
        </is>
      </c>
      <c r="B14" s="8" t="inlineStr">
        <is>
          <t>24 jun</t>
        </is>
      </c>
      <c r="C14" s="8" t="inlineStr">
        <is>
          <t>13:00</t>
        </is>
      </c>
      <c r="D14" s="9" t="inlineStr">
        <is>
          <t>BC Place, Vancouver</t>
        </is>
      </c>
      <c r="E14" s="10" t="inlineStr">
        <is>
          <t>Suiza</t>
        </is>
      </c>
      <c r="F14" s="8" t="n">
        <v>19</v>
      </c>
      <c r="G14" s="9" t="inlineStr">
        <is>
          <t>Canadá</t>
        </is>
      </c>
      <c r="H14" s="8" t="n">
        <v>30</v>
      </c>
      <c r="I14" s="8">
        <f>ABS(F14-H14)</f>
        <v/>
      </c>
      <c r="J14" s="11" t="n">
        <v>0.367</v>
      </c>
      <c r="K14" s="11" t="n">
        <v>0.285</v>
      </c>
      <c r="L14" s="11" t="n">
        <v>0.348</v>
      </c>
      <c r="M14" s="8" t="inlineStr">
        <is>
          <t>2 – 1</t>
        </is>
      </c>
      <c r="N14" s="10" t="inlineStr">
        <is>
          <t>Ganó Suiza</t>
        </is>
      </c>
      <c r="O14" s="12" t="inlineStr">
        <is>
          <t>Suiza</t>
        </is>
      </c>
      <c r="P14" s="13" t="inlineStr">
        <is>
          <t>FINAL</t>
        </is>
      </c>
      <c r="Q14" s="14" t="inlineStr">
        <is>
          <t>1 – 1</t>
        </is>
      </c>
      <c r="R14" s="8" t="inlineStr">
        <is>
          <t>—</t>
        </is>
      </c>
    </row>
    <row r="15">
      <c r="A15" s="8" t="inlineStr">
        <is>
          <t>B</t>
        </is>
      </c>
      <c r="B15" s="8" t="inlineStr">
        <is>
          <t>24 jun</t>
        </is>
      </c>
      <c r="C15" s="8" t="inlineStr">
        <is>
          <t>13:00</t>
        </is>
      </c>
      <c r="D15" s="9" t="inlineStr">
        <is>
          <t>Lumen Field, Seattle</t>
        </is>
      </c>
      <c r="E15" s="10" t="inlineStr">
        <is>
          <t>Bosnia y Herzegovina</t>
        </is>
      </c>
      <c r="F15" s="8" t="n">
        <v>64</v>
      </c>
      <c r="G15" s="9" t="inlineStr">
        <is>
          <t>Catar</t>
        </is>
      </c>
      <c r="H15" s="8" t="n">
        <v>56</v>
      </c>
      <c r="I15" s="8">
        <f>ABS(F15-H15)</f>
        <v/>
      </c>
      <c r="J15" s="11" t="n">
        <v>0.519</v>
      </c>
      <c r="K15" s="11" t="n">
        <v>0.268</v>
      </c>
      <c r="L15" s="11" t="n">
        <v>0.213</v>
      </c>
      <c r="M15" s="8" t="inlineStr">
        <is>
          <t>3 – 1</t>
        </is>
      </c>
      <c r="N15" s="10" t="inlineStr">
        <is>
          <t>Ganó Bosnia y Herzegovina</t>
        </is>
      </c>
      <c r="O15" s="12" t="inlineStr">
        <is>
          <t>Bosnia y Herzegovina</t>
        </is>
      </c>
      <c r="P15" s="13" t="inlineStr">
        <is>
          <t>FINAL</t>
        </is>
      </c>
      <c r="Q15" s="14" t="inlineStr">
        <is>
          <t>1 – 1</t>
        </is>
      </c>
      <c r="R15" s="8" t="inlineStr">
        <is>
          <t>1.57 – 1.02</t>
        </is>
      </c>
    </row>
    <row r="16">
      <c r="A16" s="8" t="inlineStr">
        <is>
          <t>C</t>
        </is>
      </c>
      <c r="B16" s="8" t="inlineStr">
        <is>
          <t>12 jun</t>
        </is>
      </c>
      <c r="C16" s="8" t="inlineStr">
        <is>
          <t>19:00</t>
        </is>
      </c>
      <c r="D16" s="9" t="inlineStr">
        <is>
          <t>SoFi Stadium, Los Angeles</t>
        </is>
      </c>
      <c r="E16" s="10" t="inlineStr">
        <is>
          <t>Estados Unidos</t>
        </is>
      </c>
      <c r="F16" s="8" t="n">
        <v>17</v>
      </c>
      <c r="G16" s="9" t="inlineStr">
        <is>
          <t>Paraguay</t>
        </is>
      </c>
      <c r="H16" s="8" t="n">
        <v>41</v>
      </c>
      <c r="I16" s="8">
        <f>ABS(F16-H16)</f>
        <v/>
      </c>
      <c r="J16" s="11" t="n">
        <v>0.43</v>
      </c>
      <c r="K16" s="11" t="n">
        <v>0.292</v>
      </c>
      <c r="L16" s="11" t="n">
        <v>0.277</v>
      </c>
      <c r="M16" s="8" t="inlineStr">
        <is>
          <t>4 – 1</t>
        </is>
      </c>
      <c r="N16" s="10" t="inlineStr">
        <is>
          <t>Ganó Estados Unidos</t>
        </is>
      </c>
      <c r="O16" s="12" t="inlineStr">
        <is>
          <t>Estados Unidos</t>
        </is>
      </c>
      <c r="P16" s="13" t="inlineStr">
        <is>
          <t>FINAL</t>
        </is>
      </c>
      <c r="Q16" s="14" t="inlineStr">
        <is>
          <t>1 – 0</t>
        </is>
      </c>
      <c r="R16" s="8" t="inlineStr">
        <is>
          <t>1.35 – 0.47</t>
        </is>
      </c>
    </row>
    <row r="17">
      <c r="A17" s="8" t="inlineStr">
        <is>
          <t>C</t>
        </is>
      </c>
      <c r="B17" s="8" t="inlineStr">
        <is>
          <t>13 jun</t>
        </is>
      </c>
      <c r="C17" s="8" t="inlineStr">
        <is>
          <t>22:00</t>
        </is>
      </c>
      <c r="D17" s="9" t="inlineStr">
        <is>
          <t>BC Place, Vancouver</t>
        </is>
      </c>
      <c r="E17" s="10" t="inlineStr">
        <is>
          <t>Australia</t>
        </is>
      </c>
      <c r="F17" s="8" t="n">
        <v>27</v>
      </c>
      <c r="G17" s="9" t="inlineStr">
        <is>
          <t>Turquía</t>
        </is>
      </c>
      <c r="H17" s="8" t="n">
        <v>22</v>
      </c>
      <c r="I17" s="8">
        <f>ABS(F17-H17)</f>
        <v/>
      </c>
      <c r="J17" s="11" t="n">
        <v>0.209</v>
      </c>
      <c r="K17" s="11" t="n">
        <v>0.276</v>
      </c>
      <c r="L17" s="11" t="n">
        <v>0.515</v>
      </c>
      <c r="M17" s="8" t="inlineStr">
        <is>
          <t>2 – 0</t>
        </is>
      </c>
      <c r="N17" s="10" t="inlineStr">
        <is>
          <t>Ganó Australia</t>
        </is>
      </c>
      <c r="O17" s="12" t="inlineStr">
        <is>
          <t>Australia</t>
        </is>
      </c>
      <c r="P17" s="13" t="inlineStr">
        <is>
          <t>FINAL</t>
        </is>
      </c>
      <c r="Q17" s="14" t="inlineStr">
        <is>
          <t>1 – 1</t>
        </is>
      </c>
      <c r="R17" s="8" t="inlineStr">
        <is>
          <t>0.77 – 1.33</t>
        </is>
      </c>
    </row>
    <row r="18">
      <c r="A18" s="8" t="inlineStr">
        <is>
          <t>C</t>
        </is>
      </c>
      <c r="B18" s="8" t="inlineStr">
        <is>
          <t>19 jun</t>
        </is>
      </c>
      <c r="C18" s="8" t="inlineStr">
        <is>
          <t>13:00</t>
        </is>
      </c>
      <c r="D18" s="9" t="inlineStr">
        <is>
          <t>Lumen Field, Seattle</t>
        </is>
      </c>
      <c r="E18" s="10" t="inlineStr">
        <is>
          <t>Estados Unidos</t>
        </is>
      </c>
      <c r="F18" s="8" t="n">
        <v>17</v>
      </c>
      <c r="G18" s="9" t="inlineStr">
        <is>
          <t>Australia</t>
        </is>
      </c>
      <c r="H18" s="8" t="n">
        <v>27</v>
      </c>
      <c r="I18" s="8">
        <f>ABS(F18-H18)</f>
        <v/>
      </c>
      <c r="J18" s="11" t="n">
        <v>0.425</v>
      </c>
      <c r="K18" s="11" t="n">
        <v>0.295</v>
      </c>
      <c r="L18" s="11" t="n">
        <v>0.279</v>
      </c>
      <c r="M18" s="8" t="inlineStr">
        <is>
          <t>2 – 0</t>
        </is>
      </c>
      <c r="N18" s="10" t="inlineStr">
        <is>
          <t>Ganó Estados Unidos</t>
        </is>
      </c>
      <c r="O18" s="12" t="inlineStr">
        <is>
          <t>Estados Unidos</t>
        </is>
      </c>
      <c r="P18" s="13" t="inlineStr">
        <is>
          <t>FINAL</t>
        </is>
      </c>
      <c r="Q18" s="14" t="inlineStr">
        <is>
          <t>1 – 0</t>
        </is>
      </c>
      <c r="R18" s="8" t="inlineStr">
        <is>
          <t>1.08 – 0.35</t>
        </is>
      </c>
    </row>
    <row r="19">
      <c r="A19" s="8" t="inlineStr">
        <is>
          <t>C</t>
        </is>
      </c>
      <c r="B19" s="8" t="inlineStr">
        <is>
          <t>19 jun</t>
        </is>
      </c>
      <c r="C19" s="8" t="inlineStr">
        <is>
          <t>21:00</t>
        </is>
      </c>
      <c r="D19" s="9" t="inlineStr">
        <is>
          <t>Levi's Stadium, San Francisco Bay Area</t>
        </is>
      </c>
      <c r="E19" s="9" t="inlineStr">
        <is>
          <t>Turquía</t>
        </is>
      </c>
      <c r="F19" s="8" t="n">
        <v>22</v>
      </c>
      <c r="G19" s="10" t="inlineStr">
        <is>
          <t>Paraguay</t>
        </is>
      </c>
      <c r="H19" s="8" t="n">
        <v>41</v>
      </c>
      <c r="I19" s="8">
        <f>ABS(F19-H19)</f>
        <v/>
      </c>
      <c r="J19" s="11" t="n">
        <v>0.521</v>
      </c>
      <c r="K19" s="11" t="n">
        <v>0.272</v>
      </c>
      <c r="L19" s="11" t="n">
        <v>0.207</v>
      </c>
      <c r="M19" s="8" t="inlineStr">
        <is>
          <t>0 – 1</t>
        </is>
      </c>
      <c r="N19" s="10" t="inlineStr">
        <is>
          <t>Ganó Paraguay</t>
        </is>
      </c>
      <c r="O19" s="12" t="inlineStr">
        <is>
          <t>Paraguay</t>
        </is>
      </c>
      <c r="P19" s="13" t="inlineStr">
        <is>
          <t>FINAL</t>
        </is>
      </c>
      <c r="Q19" s="14" t="inlineStr">
        <is>
          <t>1 – 1</t>
        </is>
      </c>
      <c r="R19" s="8" t="inlineStr">
        <is>
          <t>2.17 – 0.32</t>
        </is>
      </c>
    </row>
    <row r="20">
      <c r="A20" s="8" t="inlineStr">
        <is>
          <t>C</t>
        </is>
      </c>
      <c r="B20" s="8" t="inlineStr">
        <is>
          <t>25 jun</t>
        </is>
      </c>
      <c r="C20" s="8" t="inlineStr">
        <is>
          <t>20:00</t>
        </is>
      </c>
      <c r="D20" s="9" t="inlineStr">
        <is>
          <t>SoFi Stadium, Los Angeles</t>
        </is>
      </c>
      <c r="E20" s="10" t="inlineStr">
        <is>
          <t>Turquía</t>
        </is>
      </c>
      <c r="F20" s="8" t="n">
        <v>22</v>
      </c>
      <c r="G20" s="9" t="inlineStr">
        <is>
          <t>Estados Unidos</t>
        </is>
      </c>
      <c r="H20" s="8" t="n">
        <v>17</v>
      </c>
      <c r="I20" s="8">
        <f>ABS(F20-H20)</f>
        <v/>
      </c>
      <c r="J20" s="11" t="n">
        <v>0.457</v>
      </c>
      <c r="K20" s="11" t="n">
        <v>0.266</v>
      </c>
      <c r="L20" s="11" t="n">
        <v>0.277</v>
      </c>
      <c r="M20" s="8" t="inlineStr">
        <is>
          <t>3 – 2</t>
        </is>
      </c>
      <c r="N20" s="10" t="inlineStr">
        <is>
          <t>Ganó Turquía</t>
        </is>
      </c>
      <c r="O20" s="12" t="inlineStr">
        <is>
          <t>Turquía</t>
        </is>
      </c>
      <c r="P20" s="13" t="inlineStr">
        <is>
          <t>FINAL</t>
        </is>
      </c>
      <c r="Q20" s="14" t="inlineStr">
        <is>
          <t>1 – 1</t>
        </is>
      </c>
      <c r="R20" s="8" t="inlineStr">
        <is>
          <t>2.71 – 2.06</t>
        </is>
      </c>
    </row>
    <row r="21">
      <c r="A21" s="8" t="inlineStr">
        <is>
          <t>C</t>
        </is>
      </c>
      <c r="B21" s="8" t="inlineStr">
        <is>
          <t>25 jun</t>
        </is>
      </c>
      <c r="C21" s="8" t="inlineStr">
        <is>
          <t>20:00</t>
        </is>
      </c>
      <c r="D21" s="9" t="inlineStr">
        <is>
          <t>Levi's Stadium, San Francisco Bay Area</t>
        </is>
      </c>
      <c r="E21" s="9" t="inlineStr">
        <is>
          <t>Paraguay</t>
        </is>
      </c>
      <c r="F21" s="8" t="n">
        <v>41</v>
      </c>
      <c r="G21" s="9" t="inlineStr">
        <is>
          <t>Australia</t>
        </is>
      </c>
      <c r="H21" s="8" t="n">
        <v>27</v>
      </c>
      <c r="I21" s="8">
        <f>ABS(F21-H21)</f>
        <v/>
      </c>
      <c r="J21" s="11" t="n">
        <v>0.334</v>
      </c>
      <c r="K21" s="11" t="n">
        <v>0.327</v>
      </c>
      <c r="L21" s="11" t="n">
        <v>0.339</v>
      </c>
      <c r="M21" s="15" t="inlineStr">
        <is>
          <t>0 – 0</t>
        </is>
      </c>
      <c r="N21" s="16" t="inlineStr">
        <is>
          <t>Empate</t>
        </is>
      </c>
      <c r="O21" s="15" t="inlineStr">
        <is>
          <t>Empate</t>
        </is>
      </c>
      <c r="P21" s="13" t="inlineStr">
        <is>
          <t>FINAL</t>
        </is>
      </c>
      <c r="Q21" s="14" t="inlineStr">
        <is>
          <t>1 – 1</t>
        </is>
      </c>
      <c r="R21" s="8" t="inlineStr">
        <is>
          <t>0.24 – 0.55</t>
        </is>
      </c>
    </row>
    <row r="22">
      <c r="A22" s="8" t="inlineStr">
        <is>
          <t>D</t>
        </is>
      </c>
      <c r="B22" s="8" t="inlineStr">
        <is>
          <t>13 jun</t>
        </is>
      </c>
      <c r="C22" s="8" t="inlineStr">
        <is>
          <t>16:00</t>
        </is>
      </c>
      <c r="D22" s="9" t="inlineStr">
        <is>
          <t>MetLife Stadium, New York New Jersey</t>
        </is>
      </c>
      <c r="E22" s="9" t="inlineStr">
        <is>
          <t>Brasil</t>
        </is>
      </c>
      <c r="F22" s="8" t="n">
        <v>6</v>
      </c>
      <c r="G22" s="9" t="inlineStr">
        <is>
          <t>Marruecos</t>
        </is>
      </c>
      <c r="H22" s="8" t="n">
        <v>7</v>
      </c>
      <c r="I22" s="8">
        <f>ABS(F22-H22)</f>
        <v/>
      </c>
      <c r="J22" s="11" t="n">
        <v>0.484</v>
      </c>
      <c r="K22" s="11" t="n">
        <v>0.255</v>
      </c>
      <c r="L22" s="11" t="n">
        <v>0.261</v>
      </c>
      <c r="M22" s="15" t="inlineStr">
        <is>
          <t>1 – 1</t>
        </is>
      </c>
      <c r="N22" s="16" t="inlineStr">
        <is>
          <t>Empate</t>
        </is>
      </c>
      <c r="O22" s="15" t="inlineStr">
        <is>
          <t>Empate</t>
        </is>
      </c>
      <c r="P22" s="13" t="inlineStr">
        <is>
          <t>FINAL</t>
        </is>
      </c>
      <c r="Q22" s="14" t="inlineStr">
        <is>
          <t>1 – 1</t>
        </is>
      </c>
      <c r="R22" s="8" t="inlineStr">
        <is>
          <t>1.23 – 1.53</t>
        </is>
      </c>
    </row>
    <row r="23">
      <c r="A23" s="8" t="inlineStr">
        <is>
          <t>D</t>
        </is>
      </c>
      <c r="B23" s="8" t="inlineStr">
        <is>
          <t>13 jun</t>
        </is>
      </c>
      <c r="C23" s="8" t="inlineStr">
        <is>
          <t>19:00</t>
        </is>
      </c>
      <c r="D23" s="9" t="inlineStr">
        <is>
          <t>Gillette Stadium, Boston</t>
        </is>
      </c>
      <c r="E23" s="9" t="inlineStr">
        <is>
          <t>Haití</t>
        </is>
      </c>
      <c r="F23" s="8" t="n">
        <v>83</v>
      </c>
      <c r="G23" s="10" t="inlineStr">
        <is>
          <t>Escocia</t>
        </is>
      </c>
      <c r="H23" s="8" t="n">
        <v>42</v>
      </c>
      <c r="I23" s="8">
        <f>ABS(F23-H23)</f>
        <v/>
      </c>
      <c r="J23" s="11" t="n">
        <v>0.297</v>
      </c>
      <c r="K23" s="11" t="n">
        <v>0.272</v>
      </c>
      <c r="L23" s="11" t="n">
        <v>0.43</v>
      </c>
      <c r="M23" s="8" t="inlineStr">
        <is>
          <t>0 – 1</t>
        </is>
      </c>
      <c r="N23" s="10" t="inlineStr">
        <is>
          <t>Ganó Escocia</t>
        </is>
      </c>
      <c r="O23" s="12" t="inlineStr">
        <is>
          <t>Escocia</t>
        </is>
      </c>
      <c r="P23" s="13" t="inlineStr">
        <is>
          <t>FINAL</t>
        </is>
      </c>
      <c r="Q23" s="14" t="inlineStr">
        <is>
          <t>1 – 1</t>
        </is>
      </c>
      <c r="R23" s="8" t="inlineStr">
        <is>
          <t>1.21 – 1.05</t>
        </is>
      </c>
    </row>
    <row r="24">
      <c r="A24" s="8" t="inlineStr">
        <is>
          <t>D</t>
        </is>
      </c>
      <c r="B24" s="8" t="inlineStr">
        <is>
          <t>19 jun</t>
        </is>
      </c>
      <c r="C24" s="8" t="inlineStr">
        <is>
          <t>16:00</t>
        </is>
      </c>
      <c r="D24" s="9" t="inlineStr">
        <is>
          <t>Gillette Stadium, Boston</t>
        </is>
      </c>
      <c r="E24" s="9" t="inlineStr">
        <is>
          <t>Escocia</t>
        </is>
      </c>
      <c r="F24" s="8" t="n">
        <v>42</v>
      </c>
      <c r="G24" s="10" t="inlineStr">
        <is>
          <t>Marruecos</t>
        </is>
      </c>
      <c r="H24" s="8" t="n">
        <v>7</v>
      </c>
      <c r="I24" s="8">
        <f>ABS(F24-H24)</f>
        <v/>
      </c>
      <c r="J24" s="11" t="n">
        <v>0.127</v>
      </c>
      <c r="K24" s="11" t="n">
        <v>0.204</v>
      </c>
      <c r="L24" s="11" t="n">
        <v>0.669</v>
      </c>
      <c r="M24" s="8" t="inlineStr">
        <is>
          <t>0 – 1</t>
        </is>
      </c>
      <c r="N24" s="10" t="inlineStr">
        <is>
          <t>Ganó Marruecos</t>
        </is>
      </c>
      <c r="O24" s="12" t="inlineStr">
        <is>
          <t>Marruecos</t>
        </is>
      </c>
      <c r="P24" s="13" t="inlineStr">
        <is>
          <t>FINAL</t>
        </is>
      </c>
      <c r="Q24" s="14" t="inlineStr">
        <is>
          <t>0 – 1</t>
        </is>
      </c>
      <c r="R24" s="8" t="inlineStr">
        <is>
          <t>0.51 – 0.99</t>
        </is>
      </c>
    </row>
    <row r="25">
      <c r="A25" s="8" t="inlineStr">
        <is>
          <t>D</t>
        </is>
      </c>
      <c r="B25" s="8" t="inlineStr">
        <is>
          <t>19 jun</t>
        </is>
      </c>
      <c r="C25" s="8" t="inlineStr">
        <is>
          <t>18:30</t>
        </is>
      </c>
      <c r="D25" s="9" t="inlineStr">
        <is>
          <t>Lincoln Financial Field, Philadelphia</t>
        </is>
      </c>
      <c r="E25" s="10" t="inlineStr">
        <is>
          <t>Brasil</t>
        </is>
      </c>
      <c r="F25" s="8" t="n">
        <v>6</v>
      </c>
      <c r="G25" s="9" t="inlineStr">
        <is>
          <t>Haití</t>
        </is>
      </c>
      <c r="H25" s="8" t="n">
        <v>83</v>
      </c>
      <c r="I25" s="8">
        <f>ABS(F25-H25)</f>
        <v/>
      </c>
      <c r="J25" s="11" t="n">
        <v>0.834</v>
      </c>
      <c r="K25" s="11" t="n">
        <v>0.116</v>
      </c>
      <c r="L25" s="11" t="n">
        <v>0.05</v>
      </c>
      <c r="M25" s="8" t="inlineStr">
        <is>
          <t>3 – 0</t>
        </is>
      </c>
      <c r="N25" s="10" t="inlineStr">
        <is>
          <t>Ganó Brasil</t>
        </is>
      </c>
      <c r="O25" s="12" t="inlineStr">
        <is>
          <t>Brasil</t>
        </is>
      </c>
      <c r="P25" s="13" t="inlineStr">
        <is>
          <t>FINAL</t>
        </is>
      </c>
      <c r="Q25" s="14" t="inlineStr">
        <is>
          <t>2 – 0</t>
        </is>
      </c>
      <c r="R25" s="8" t="inlineStr">
        <is>
          <t>1.56 – 0.23</t>
        </is>
      </c>
    </row>
    <row r="26">
      <c r="A26" s="8" t="inlineStr">
        <is>
          <t>D</t>
        </is>
      </c>
      <c r="B26" s="8" t="inlineStr">
        <is>
          <t>24 jun</t>
        </is>
      </c>
      <c r="C26" s="8" t="inlineStr">
        <is>
          <t>16:00</t>
        </is>
      </c>
      <c r="D26" s="9" t="inlineStr">
        <is>
          <t>Mercedes-Benz Stadium, Atlanta</t>
        </is>
      </c>
      <c r="E26" s="10" t="inlineStr">
        <is>
          <t>Marruecos</t>
        </is>
      </c>
      <c r="F26" s="8" t="n">
        <v>7</v>
      </c>
      <c r="G26" s="9" t="inlineStr">
        <is>
          <t>Haití</t>
        </is>
      </c>
      <c r="H26" s="8" t="n">
        <v>83</v>
      </c>
      <c r="I26" s="8">
        <f>ABS(F26-H26)</f>
        <v/>
      </c>
      <c r="J26" s="11" t="n">
        <v>0.736</v>
      </c>
      <c r="K26" s="11" t="n">
        <v>0.172</v>
      </c>
      <c r="L26" s="11" t="n">
        <v>0.092</v>
      </c>
      <c r="M26" s="8" t="inlineStr">
        <is>
          <t>4 – 2</t>
        </is>
      </c>
      <c r="N26" s="10" t="inlineStr">
        <is>
          <t>Ganó Marruecos</t>
        </is>
      </c>
      <c r="O26" s="12" t="inlineStr">
        <is>
          <t>Marruecos</t>
        </is>
      </c>
      <c r="P26" s="13" t="inlineStr">
        <is>
          <t>FINAL</t>
        </is>
      </c>
      <c r="Q26" s="14" t="inlineStr">
        <is>
          <t>2 – 0</t>
        </is>
      </c>
      <c r="R26" s="8" t="inlineStr">
        <is>
          <t>—</t>
        </is>
      </c>
    </row>
    <row r="27">
      <c r="A27" s="8" t="inlineStr">
        <is>
          <t>D</t>
        </is>
      </c>
      <c r="B27" s="8" t="inlineStr">
        <is>
          <t>24 jun</t>
        </is>
      </c>
      <c r="C27" s="8" t="inlineStr">
        <is>
          <t>16:00</t>
        </is>
      </c>
      <c r="D27" s="9" t="inlineStr">
        <is>
          <t>Hard Rock Stadium, Miami</t>
        </is>
      </c>
      <c r="E27" s="9" t="inlineStr">
        <is>
          <t>Escocia</t>
        </is>
      </c>
      <c r="F27" s="8" t="n">
        <v>42</v>
      </c>
      <c r="G27" s="10" t="inlineStr">
        <is>
          <t>Brasil</t>
        </is>
      </c>
      <c r="H27" s="8" t="n">
        <v>6</v>
      </c>
      <c r="I27" s="8">
        <f>ABS(F27-H27)</f>
        <v/>
      </c>
      <c r="J27" s="11" t="n">
        <v>0.073</v>
      </c>
      <c r="K27" s="11" t="n">
        <v>0.148</v>
      </c>
      <c r="L27" s="11" t="n">
        <v>0.778</v>
      </c>
      <c r="M27" s="8" t="inlineStr">
        <is>
          <t>0 – 3</t>
        </is>
      </c>
      <c r="N27" s="10" t="inlineStr">
        <is>
          <t>Ganó Brasil</t>
        </is>
      </c>
      <c r="O27" s="12" t="inlineStr">
        <is>
          <t>Brasil</t>
        </is>
      </c>
      <c r="P27" s="13" t="inlineStr">
        <is>
          <t>FINAL</t>
        </is>
      </c>
      <c r="Q27" s="14" t="inlineStr">
        <is>
          <t>0 – 1</t>
        </is>
      </c>
      <c r="R27" s="8" t="inlineStr">
        <is>
          <t>1.13 – 4.46</t>
        </is>
      </c>
    </row>
    <row r="28">
      <c r="A28" s="8" t="inlineStr">
        <is>
          <t>E</t>
        </is>
      </c>
      <c r="B28" s="8" t="inlineStr">
        <is>
          <t>14 jun</t>
        </is>
      </c>
      <c r="C28" s="8" t="inlineStr">
        <is>
          <t>11:00</t>
        </is>
      </c>
      <c r="D28" s="9" t="inlineStr">
        <is>
          <t>NRG Stadium, Houston</t>
        </is>
      </c>
      <c r="E28" s="10" t="inlineStr">
        <is>
          <t>Alemania</t>
        </is>
      </c>
      <c r="F28" s="8" t="n">
        <v>10</v>
      </c>
      <c r="G28" s="9" t="inlineStr">
        <is>
          <t>Curazao</t>
        </is>
      </c>
      <c r="H28" s="8" t="n">
        <v>82</v>
      </c>
      <c r="I28" s="8">
        <f>ABS(F28-H28)</f>
        <v/>
      </c>
      <c r="J28" s="11" t="n">
        <v>0.839</v>
      </c>
      <c r="K28" s="11" t="n">
        <v>0.115</v>
      </c>
      <c r="L28" s="11" t="n">
        <v>0.046</v>
      </c>
      <c r="M28" s="8" t="inlineStr">
        <is>
          <t>7 – 1</t>
        </is>
      </c>
      <c r="N28" s="10" t="inlineStr">
        <is>
          <t>Ganó Alemania</t>
        </is>
      </c>
      <c r="O28" s="12" t="inlineStr">
        <is>
          <t>Alemania</t>
        </is>
      </c>
      <c r="P28" s="13" t="inlineStr">
        <is>
          <t>FINAL</t>
        </is>
      </c>
      <c r="Q28" s="14" t="inlineStr">
        <is>
          <t>2 – 0</t>
        </is>
      </c>
      <c r="R28" s="8" t="inlineStr">
        <is>
          <t>4.22 – 0.41</t>
        </is>
      </c>
    </row>
    <row r="29">
      <c r="A29" s="8" t="inlineStr">
        <is>
          <t>E</t>
        </is>
      </c>
      <c r="B29" s="8" t="inlineStr">
        <is>
          <t>14 jun</t>
        </is>
      </c>
      <c r="C29" s="8" t="inlineStr">
        <is>
          <t>17:00</t>
        </is>
      </c>
      <c r="D29" s="9" t="inlineStr">
        <is>
          <t>Lincoln Financial Field, Philadelphia</t>
        </is>
      </c>
      <c r="E29" s="10" t="inlineStr">
        <is>
          <t>Costa de Marfil</t>
        </is>
      </c>
      <c r="F29" s="8" t="n">
        <v>33</v>
      </c>
      <c r="G29" s="9" t="inlineStr">
        <is>
          <t>Ecuador</t>
        </is>
      </c>
      <c r="H29" s="8" t="n">
        <v>23</v>
      </c>
      <c r="I29" s="8">
        <f>ABS(F29-H29)</f>
        <v/>
      </c>
      <c r="J29" s="11" t="n">
        <v>0.251</v>
      </c>
      <c r="K29" s="11" t="n">
        <v>0.3</v>
      </c>
      <c r="L29" s="11" t="n">
        <v>0.449</v>
      </c>
      <c r="M29" s="8" t="inlineStr">
        <is>
          <t>1 – 0</t>
        </is>
      </c>
      <c r="N29" s="10" t="inlineStr">
        <is>
          <t>Ganó Costa de Marfil</t>
        </is>
      </c>
      <c r="O29" s="12" t="inlineStr">
        <is>
          <t>Costa de Marfil</t>
        </is>
      </c>
      <c r="P29" s="13" t="inlineStr">
        <is>
          <t>FINAL</t>
        </is>
      </c>
      <c r="Q29" s="14" t="inlineStr">
        <is>
          <t>1 – 1</t>
        </is>
      </c>
      <c r="R29" s="8" t="inlineStr">
        <is>
          <t>1.68 – 1.03</t>
        </is>
      </c>
    </row>
    <row r="30">
      <c r="A30" s="8" t="inlineStr">
        <is>
          <t>E</t>
        </is>
      </c>
      <c r="B30" s="8" t="inlineStr">
        <is>
          <t>20 jun</t>
        </is>
      </c>
      <c r="C30" s="8" t="inlineStr">
        <is>
          <t>14:00</t>
        </is>
      </c>
      <c r="D30" s="9" t="inlineStr">
        <is>
          <t>BMO Field, Toronto</t>
        </is>
      </c>
      <c r="E30" s="10" t="inlineStr">
        <is>
          <t>Alemania</t>
        </is>
      </c>
      <c r="F30" s="8" t="n">
        <v>10</v>
      </c>
      <c r="G30" s="9" t="inlineStr">
        <is>
          <t>Costa de Marfil</t>
        </is>
      </c>
      <c r="H30" s="8" t="n">
        <v>33</v>
      </c>
      <c r="I30" s="8">
        <f>ABS(F30-H30)</f>
        <v/>
      </c>
      <c r="J30" s="11" t="n">
        <v>0.543</v>
      </c>
      <c r="K30" s="11" t="n">
        <v>0.256</v>
      </c>
      <c r="L30" s="11" t="n">
        <v>0.202</v>
      </c>
      <c r="M30" s="8" t="inlineStr">
        <is>
          <t>2 – 1</t>
        </is>
      </c>
      <c r="N30" s="10" t="inlineStr">
        <is>
          <t>Ganó Alemania</t>
        </is>
      </c>
      <c r="O30" s="12" t="inlineStr">
        <is>
          <t>Alemania</t>
        </is>
      </c>
      <c r="P30" s="13" t="inlineStr">
        <is>
          <t>FINAL</t>
        </is>
      </c>
      <c r="Q30" s="14" t="inlineStr">
        <is>
          <t>1 – 0</t>
        </is>
      </c>
      <c r="R30" s="8" t="inlineStr">
        <is>
          <t>1.89 – 1.22</t>
        </is>
      </c>
    </row>
    <row r="31">
      <c r="A31" s="8" t="inlineStr">
        <is>
          <t>E</t>
        </is>
      </c>
      <c r="B31" s="8" t="inlineStr">
        <is>
          <t>20 jun</t>
        </is>
      </c>
      <c r="C31" s="8" t="inlineStr">
        <is>
          <t>18:00</t>
        </is>
      </c>
      <c r="D31" s="9" t="inlineStr">
        <is>
          <t>Arrowhead Stadium, Kansas City</t>
        </is>
      </c>
      <c r="E31" s="9" t="inlineStr">
        <is>
          <t>Ecuador</t>
        </is>
      </c>
      <c r="F31" s="8" t="n">
        <v>23</v>
      </c>
      <c r="G31" s="9" t="inlineStr">
        <is>
          <t>Curazao</t>
        </is>
      </c>
      <c r="H31" s="8" t="n">
        <v>82</v>
      </c>
      <c r="I31" s="8">
        <f>ABS(F31-H31)</f>
        <v/>
      </c>
      <c r="J31" s="11" t="n">
        <v>0.752</v>
      </c>
      <c r="K31" s="11" t="n">
        <v>0.174</v>
      </c>
      <c r="L31" s="11" t="n">
        <v>0.074</v>
      </c>
      <c r="M31" s="15" t="inlineStr">
        <is>
          <t>0 – 0</t>
        </is>
      </c>
      <c r="N31" s="16" t="inlineStr">
        <is>
          <t>Empate</t>
        </is>
      </c>
      <c r="O31" s="15" t="inlineStr">
        <is>
          <t>Empate</t>
        </is>
      </c>
      <c r="P31" s="13" t="inlineStr">
        <is>
          <t>FINAL</t>
        </is>
      </c>
      <c r="Q31" s="14" t="inlineStr">
        <is>
          <t>1 – 0</t>
        </is>
      </c>
      <c r="R31" s="8" t="inlineStr">
        <is>
          <t>3.05 – 0.48</t>
        </is>
      </c>
    </row>
    <row r="32">
      <c r="A32" s="8" t="inlineStr">
        <is>
          <t>E</t>
        </is>
      </c>
      <c r="B32" s="8" t="inlineStr">
        <is>
          <t>25 jun</t>
        </is>
      </c>
      <c r="C32" s="8" t="inlineStr">
        <is>
          <t>14:00</t>
        </is>
      </c>
      <c r="D32" s="9" t="inlineStr">
        <is>
          <t>MetLife Stadium, New York New Jersey</t>
        </is>
      </c>
      <c r="E32" s="10" t="inlineStr">
        <is>
          <t>Ecuador</t>
        </is>
      </c>
      <c r="F32" s="8" t="n">
        <v>23</v>
      </c>
      <c r="G32" s="9" t="inlineStr">
        <is>
          <t>Alemania</t>
        </is>
      </c>
      <c r="H32" s="8" t="n">
        <v>10</v>
      </c>
      <c r="I32" s="8">
        <f>ABS(F32-H32)</f>
        <v/>
      </c>
      <c r="J32" s="11" t="n">
        <v>0.293</v>
      </c>
      <c r="K32" s="11" t="n">
        <v>0.281</v>
      </c>
      <c r="L32" s="11" t="n">
        <v>0.426</v>
      </c>
      <c r="M32" s="8" t="inlineStr">
        <is>
          <t>2 – 1</t>
        </is>
      </c>
      <c r="N32" s="10" t="inlineStr">
        <is>
          <t>Ganó Ecuador</t>
        </is>
      </c>
      <c r="O32" s="12" t="inlineStr">
        <is>
          <t>Ecuador</t>
        </is>
      </c>
      <c r="P32" s="13" t="inlineStr">
        <is>
          <t>FINAL</t>
        </is>
      </c>
      <c r="Q32" s="14" t="inlineStr">
        <is>
          <t>0 – 1</t>
        </is>
      </c>
      <c r="R32" s="8" t="inlineStr">
        <is>
          <t>1.27 – 0.65</t>
        </is>
      </c>
    </row>
    <row r="33">
      <c r="A33" s="8" t="inlineStr">
        <is>
          <t>E</t>
        </is>
      </c>
      <c r="B33" s="8" t="inlineStr">
        <is>
          <t>25 jun</t>
        </is>
      </c>
      <c r="C33" s="8" t="inlineStr">
        <is>
          <t>14:00</t>
        </is>
      </c>
      <c r="D33" s="9" t="inlineStr">
        <is>
          <t>Lincoln Financial Field, Philadelphia</t>
        </is>
      </c>
      <c r="E33" s="9" t="inlineStr">
        <is>
          <t>Curazao</t>
        </is>
      </c>
      <c r="F33" s="8" t="n">
        <v>82</v>
      </c>
      <c r="G33" s="10" t="inlineStr">
        <is>
          <t>Costa de Marfil</t>
        </is>
      </c>
      <c r="H33" s="8" t="n">
        <v>33</v>
      </c>
      <c r="I33" s="8">
        <f>ABS(F33-H33)</f>
        <v/>
      </c>
      <c r="J33" s="11" t="n">
        <v>0.123</v>
      </c>
      <c r="K33" s="11" t="n">
        <v>0.224</v>
      </c>
      <c r="L33" s="11" t="n">
        <v>0.653</v>
      </c>
      <c r="M33" s="8" t="inlineStr">
        <is>
          <t>0 – 2</t>
        </is>
      </c>
      <c r="N33" s="10" t="inlineStr">
        <is>
          <t>Ganó Costa de Marfil</t>
        </is>
      </c>
      <c r="O33" s="12" t="inlineStr">
        <is>
          <t>Costa de Marfil</t>
        </is>
      </c>
      <c r="P33" s="13" t="inlineStr">
        <is>
          <t>FINAL</t>
        </is>
      </c>
      <c r="Q33" s="14" t="inlineStr">
        <is>
          <t>0 – 1</t>
        </is>
      </c>
      <c r="R33" s="8" t="inlineStr">
        <is>
          <t>0.50 – 1.31</t>
        </is>
      </c>
    </row>
    <row r="34">
      <c r="A34" s="8" t="inlineStr">
        <is>
          <t>F</t>
        </is>
      </c>
      <c r="B34" s="8" t="inlineStr">
        <is>
          <t>14 jun</t>
        </is>
      </c>
      <c r="C34" s="8" t="inlineStr">
        <is>
          <t>14:00</t>
        </is>
      </c>
      <c r="D34" s="9" t="inlineStr">
        <is>
          <t>AT&amp;T Stadium, Dallas</t>
        </is>
      </c>
      <c r="E34" s="9" t="inlineStr">
        <is>
          <t>Países Bajos</t>
        </is>
      </c>
      <c r="F34" s="8" t="n">
        <v>8</v>
      </c>
      <c r="G34" s="9" t="inlineStr">
        <is>
          <t>Japón</t>
        </is>
      </c>
      <c r="H34" s="8" t="n">
        <v>18</v>
      </c>
      <c r="I34" s="8">
        <f>ABS(F34-H34)</f>
        <v/>
      </c>
      <c r="J34" s="11" t="n">
        <v>0.4</v>
      </c>
      <c r="K34" s="11" t="n">
        <v>0.301</v>
      </c>
      <c r="L34" s="11" t="n">
        <v>0.298</v>
      </c>
      <c r="M34" s="15" t="inlineStr">
        <is>
          <t>2 – 2</t>
        </is>
      </c>
      <c r="N34" s="16" t="inlineStr">
        <is>
          <t>Empate</t>
        </is>
      </c>
      <c r="O34" s="15" t="inlineStr">
        <is>
          <t>Empate</t>
        </is>
      </c>
      <c r="P34" s="13" t="inlineStr">
        <is>
          <t>FINAL</t>
        </is>
      </c>
      <c r="Q34" s="14" t="inlineStr">
        <is>
          <t>1 – 1</t>
        </is>
      </c>
      <c r="R34" s="8" t="inlineStr">
        <is>
          <t>0.78 – 0.59</t>
        </is>
      </c>
    </row>
    <row r="35">
      <c r="A35" s="8" t="inlineStr">
        <is>
          <t>F</t>
        </is>
      </c>
      <c r="B35" s="8" t="inlineStr">
        <is>
          <t>14 jun</t>
        </is>
      </c>
      <c r="C35" s="8" t="inlineStr">
        <is>
          <t>20:00</t>
        </is>
      </c>
      <c r="D35" s="9" t="inlineStr">
        <is>
          <t>Estadio BBVA, Monterrey</t>
        </is>
      </c>
      <c r="E35" s="10" t="inlineStr">
        <is>
          <t>Suecia</t>
        </is>
      </c>
      <c r="F35" s="8" t="n">
        <v>38</v>
      </c>
      <c r="G35" s="9" t="inlineStr">
        <is>
          <t>Túnez</t>
        </is>
      </c>
      <c r="H35" s="8" t="n">
        <v>45</v>
      </c>
      <c r="I35" s="8">
        <f>ABS(F35-H35)</f>
        <v/>
      </c>
      <c r="J35" s="11" t="n">
        <v>0.404</v>
      </c>
      <c r="K35" s="11" t="n">
        <v>0.294</v>
      </c>
      <c r="L35" s="11" t="n">
        <v>0.302</v>
      </c>
      <c r="M35" s="8" t="inlineStr">
        <is>
          <t>5 – 1</t>
        </is>
      </c>
      <c r="N35" s="10" t="inlineStr">
        <is>
          <t>Ganó Suecia</t>
        </is>
      </c>
      <c r="O35" s="12" t="inlineStr">
        <is>
          <t>Suecia</t>
        </is>
      </c>
      <c r="P35" s="13" t="inlineStr">
        <is>
          <t>FINAL</t>
        </is>
      </c>
      <c r="Q35" s="14" t="inlineStr">
        <is>
          <t>1 – 1</t>
        </is>
      </c>
      <c r="R35" s="8" t="inlineStr">
        <is>
          <t>1.36 – 0.28</t>
        </is>
      </c>
    </row>
    <row r="36">
      <c r="A36" s="8" t="inlineStr">
        <is>
          <t>F</t>
        </is>
      </c>
      <c r="B36" s="8" t="inlineStr">
        <is>
          <t>20 jun</t>
        </is>
      </c>
      <c r="C36" s="8" t="inlineStr">
        <is>
          <t>11:00</t>
        </is>
      </c>
      <c r="D36" s="9" t="inlineStr">
        <is>
          <t>NRG Stadium, Houston</t>
        </is>
      </c>
      <c r="E36" s="10" t="inlineStr">
        <is>
          <t>Países Bajos</t>
        </is>
      </c>
      <c r="F36" s="8" t="n">
        <v>8</v>
      </c>
      <c r="G36" s="9" t="inlineStr">
        <is>
          <t>Suecia</t>
        </is>
      </c>
      <c r="H36" s="8" t="n">
        <v>38</v>
      </c>
      <c r="I36" s="8">
        <f>ABS(F36-H36)</f>
        <v/>
      </c>
      <c r="J36" s="11" t="n">
        <v>0.618</v>
      </c>
      <c r="K36" s="11" t="n">
        <v>0.23</v>
      </c>
      <c r="L36" s="11" t="n">
        <v>0.152</v>
      </c>
      <c r="M36" s="8" t="inlineStr">
        <is>
          <t>5 – 1</t>
        </is>
      </c>
      <c r="N36" s="10" t="inlineStr">
        <is>
          <t>Ganó Países Bajos</t>
        </is>
      </c>
      <c r="O36" s="12" t="inlineStr">
        <is>
          <t>Países Bajos</t>
        </is>
      </c>
      <c r="P36" s="13" t="inlineStr">
        <is>
          <t>FINAL</t>
        </is>
      </c>
      <c r="Q36" s="14" t="inlineStr">
        <is>
          <t>1 – 0</t>
        </is>
      </c>
      <c r="R36" s="8" t="inlineStr">
        <is>
          <t>2.61 – 1.01</t>
        </is>
      </c>
    </row>
    <row r="37">
      <c r="A37" s="8" t="inlineStr">
        <is>
          <t>F</t>
        </is>
      </c>
      <c r="B37" s="8" t="inlineStr">
        <is>
          <t>20 jun</t>
        </is>
      </c>
      <c r="C37" s="8" t="inlineStr">
        <is>
          <t>22:00</t>
        </is>
      </c>
      <c r="D37" s="9" t="inlineStr">
        <is>
          <t>Estadio BBVA, Monterrey</t>
        </is>
      </c>
      <c r="E37" s="9" t="inlineStr">
        <is>
          <t>Túnez</t>
        </is>
      </c>
      <c r="F37" s="8" t="n">
        <v>45</v>
      </c>
      <c r="G37" s="10" t="inlineStr">
        <is>
          <t>Japón</t>
        </is>
      </c>
      <c r="H37" s="8" t="n">
        <v>18</v>
      </c>
      <c r="I37" s="8">
        <f>ABS(F37-H37)</f>
        <v/>
      </c>
      <c r="J37" s="11" t="n">
        <v>0.155</v>
      </c>
      <c r="K37" s="11" t="n">
        <v>0.265</v>
      </c>
      <c r="L37" s="11" t="n">
        <v>0.58</v>
      </c>
      <c r="M37" s="8" t="inlineStr">
        <is>
          <t>0 – 4</t>
        </is>
      </c>
      <c r="N37" s="10" t="inlineStr">
        <is>
          <t>Ganó Japón</t>
        </is>
      </c>
      <c r="O37" s="12" t="inlineStr">
        <is>
          <t>Japón</t>
        </is>
      </c>
      <c r="P37" s="13" t="inlineStr">
        <is>
          <t>FINAL</t>
        </is>
      </c>
      <c r="Q37" s="14" t="inlineStr">
        <is>
          <t>0 – 1</t>
        </is>
      </c>
      <c r="R37" s="8" t="inlineStr">
        <is>
          <t>0.05 – 2.13</t>
        </is>
      </c>
    </row>
    <row r="38">
      <c r="A38" s="8" t="inlineStr">
        <is>
          <t>F</t>
        </is>
      </c>
      <c r="B38" s="8" t="inlineStr">
        <is>
          <t>25 jun</t>
        </is>
      </c>
      <c r="C38" s="8" t="inlineStr">
        <is>
          <t>17:00</t>
        </is>
      </c>
      <c r="D38" s="9" t="inlineStr">
        <is>
          <t>AT&amp;T Stadium, Dallas</t>
        </is>
      </c>
      <c r="E38" s="9" t="inlineStr">
        <is>
          <t>Japón</t>
        </is>
      </c>
      <c r="F38" s="8" t="n">
        <v>18</v>
      </c>
      <c r="G38" s="9" t="inlineStr">
        <is>
          <t>Suecia</t>
        </is>
      </c>
      <c r="H38" s="8" t="n">
        <v>38</v>
      </c>
      <c r="I38" s="8">
        <f>ABS(F38-H38)</f>
        <v/>
      </c>
      <c r="J38" s="11" t="n">
        <v>0.551</v>
      </c>
      <c r="K38" s="11" t="n">
        <v>0.26</v>
      </c>
      <c r="L38" s="11" t="n">
        <v>0.189</v>
      </c>
      <c r="M38" s="15" t="inlineStr">
        <is>
          <t>1 – 1</t>
        </is>
      </c>
      <c r="N38" s="16" t="inlineStr">
        <is>
          <t>Empate</t>
        </is>
      </c>
      <c r="O38" s="15" t="inlineStr">
        <is>
          <t>Empate</t>
        </is>
      </c>
      <c r="P38" s="13" t="inlineStr">
        <is>
          <t>FINAL</t>
        </is>
      </c>
      <c r="Q38" s="14" t="inlineStr">
        <is>
          <t>1 – 0</t>
        </is>
      </c>
      <c r="R38" s="8" t="inlineStr">
        <is>
          <t>1.31 – 0.61</t>
        </is>
      </c>
    </row>
    <row r="39">
      <c r="A39" s="8" t="inlineStr">
        <is>
          <t>F</t>
        </is>
      </c>
      <c r="B39" s="8" t="inlineStr">
        <is>
          <t>25 jun</t>
        </is>
      </c>
      <c r="C39" s="8" t="inlineStr">
        <is>
          <t>17:00</t>
        </is>
      </c>
      <c r="D39" s="9" t="inlineStr">
        <is>
          <t>Arrowhead Stadium, Kansas City</t>
        </is>
      </c>
      <c r="E39" s="9" t="inlineStr">
        <is>
          <t>Túnez</t>
        </is>
      </c>
      <c r="F39" s="8" t="n">
        <v>45</v>
      </c>
      <c r="G39" s="10" t="inlineStr">
        <is>
          <t>Países Bajos</t>
        </is>
      </c>
      <c r="H39" s="8" t="n">
        <v>8</v>
      </c>
      <c r="I39" s="8">
        <f>ABS(F39-H39)</f>
        <v/>
      </c>
      <c r="J39" s="11" t="n">
        <v>0.124</v>
      </c>
      <c r="K39" s="11" t="n">
        <v>0.232</v>
      </c>
      <c r="L39" s="11" t="n">
        <v>0.644</v>
      </c>
      <c r="M39" s="8" t="inlineStr">
        <is>
          <t>1 – 3</t>
        </is>
      </c>
      <c r="N39" s="10" t="inlineStr">
        <is>
          <t>Ganó Países Bajos</t>
        </is>
      </c>
      <c r="O39" s="12" t="inlineStr">
        <is>
          <t>Países Bajos</t>
        </is>
      </c>
      <c r="P39" s="13" t="inlineStr">
        <is>
          <t>FINAL</t>
        </is>
      </c>
      <c r="Q39" s="14" t="inlineStr">
        <is>
          <t>0 – 1</t>
        </is>
      </c>
      <c r="R39" s="8" t="inlineStr">
        <is>
          <t>0.62 – 1.85</t>
        </is>
      </c>
    </row>
    <row r="40">
      <c r="A40" s="8" t="inlineStr">
        <is>
          <t>G</t>
        </is>
      </c>
      <c r="B40" s="8" t="inlineStr">
        <is>
          <t>15 jun</t>
        </is>
      </c>
      <c r="C40" s="8" t="inlineStr">
        <is>
          <t>16:00</t>
        </is>
      </c>
      <c r="D40" s="9" t="inlineStr">
        <is>
          <t>Hard Rock Stadium, Miami</t>
        </is>
      </c>
      <c r="E40" s="9" t="inlineStr">
        <is>
          <t>Arabia Saudita</t>
        </is>
      </c>
      <c r="F40" s="8" t="n">
        <v>61</v>
      </c>
      <c r="G40" s="9" t="inlineStr">
        <is>
          <t>Uruguay</t>
        </is>
      </c>
      <c r="H40" s="8" t="n">
        <v>16</v>
      </c>
      <c r="I40" s="8">
        <f>ABS(F40-H40)</f>
        <v/>
      </c>
      <c r="J40" s="11" t="n">
        <v>0.133</v>
      </c>
      <c r="K40" s="11" t="n">
        <v>0.26</v>
      </c>
      <c r="L40" s="11" t="n">
        <v>0.607</v>
      </c>
      <c r="M40" s="15" t="inlineStr">
        <is>
          <t>1 – 1</t>
        </is>
      </c>
      <c r="N40" s="16" t="inlineStr">
        <is>
          <t>Empate</t>
        </is>
      </c>
      <c r="O40" s="15" t="inlineStr">
        <is>
          <t>Empate</t>
        </is>
      </c>
      <c r="P40" s="13" t="inlineStr">
        <is>
          <t>FINAL</t>
        </is>
      </c>
      <c r="Q40" s="14" t="inlineStr">
        <is>
          <t>0 – 1</t>
        </is>
      </c>
      <c r="R40" s="8" t="inlineStr">
        <is>
          <t>—</t>
        </is>
      </c>
    </row>
    <row r="41">
      <c r="A41" s="8" t="inlineStr">
        <is>
          <t>G</t>
        </is>
      </c>
      <c r="B41" s="8" t="inlineStr">
        <is>
          <t>15 jun</t>
        </is>
      </c>
      <c r="C41" s="8" t="inlineStr">
        <is>
          <t>10:00</t>
        </is>
      </c>
      <c r="D41" s="9" t="inlineStr">
        <is>
          <t>Mercedes-Benz Stadium, Atlanta</t>
        </is>
      </c>
      <c r="E41" s="9" t="inlineStr">
        <is>
          <t>España</t>
        </is>
      </c>
      <c r="F41" s="8" t="n">
        <v>2</v>
      </c>
      <c r="G41" s="9" t="inlineStr">
        <is>
          <t>Cabo Verde</t>
        </is>
      </c>
      <c r="H41" s="8" t="n">
        <v>67</v>
      </c>
      <c r="I41" s="8">
        <f>ABS(F41-H41)</f>
        <v/>
      </c>
      <c r="J41" s="11" t="n">
        <v>0.847</v>
      </c>
      <c r="K41" s="11" t="n">
        <v>0.117</v>
      </c>
      <c r="L41" s="11" t="n">
        <v>0.036</v>
      </c>
      <c r="M41" s="15" t="inlineStr">
        <is>
          <t>0 – 0</t>
        </is>
      </c>
      <c r="N41" s="16" t="inlineStr">
        <is>
          <t>Empate</t>
        </is>
      </c>
      <c r="O41" s="15" t="inlineStr">
        <is>
          <t>Empate</t>
        </is>
      </c>
      <c r="P41" s="13" t="inlineStr">
        <is>
          <t>FINAL</t>
        </is>
      </c>
      <c r="Q41" s="14" t="inlineStr">
        <is>
          <t>2 – 0</t>
        </is>
      </c>
      <c r="R41" s="8" t="inlineStr">
        <is>
          <t>2.29 – 0.30</t>
        </is>
      </c>
    </row>
    <row r="42">
      <c r="A42" s="8" t="inlineStr">
        <is>
          <t>G</t>
        </is>
      </c>
      <c r="B42" s="8" t="inlineStr">
        <is>
          <t>21 jun</t>
        </is>
      </c>
      <c r="C42" s="8" t="inlineStr">
        <is>
          <t>10:00</t>
        </is>
      </c>
      <c r="D42" s="9" t="inlineStr">
        <is>
          <t>Mercedes-Benz Stadium, Atlanta</t>
        </is>
      </c>
      <c r="E42" s="10" t="inlineStr">
        <is>
          <t>España</t>
        </is>
      </c>
      <c r="F42" s="8" t="n">
        <v>2</v>
      </c>
      <c r="G42" s="9" t="inlineStr">
        <is>
          <t>Arabia Saudita</t>
        </is>
      </c>
      <c r="H42" s="8" t="n">
        <v>61</v>
      </c>
      <c r="I42" s="8">
        <f>ABS(F42-H42)</f>
        <v/>
      </c>
      <c r="J42" s="11" t="n">
        <v>0.87</v>
      </c>
      <c r="K42" s="11" t="n">
        <v>0.106</v>
      </c>
      <c r="L42" s="11" t="n">
        <v>0.025</v>
      </c>
      <c r="M42" s="8" t="inlineStr">
        <is>
          <t>4 – 0</t>
        </is>
      </c>
      <c r="N42" s="10" t="inlineStr">
        <is>
          <t>Ganó España</t>
        </is>
      </c>
      <c r="O42" s="12" t="inlineStr">
        <is>
          <t>España</t>
        </is>
      </c>
      <c r="P42" s="13" t="inlineStr">
        <is>
          <t>FINAL</t>
        </is>
      </c>
      <c r="Q42" s="14" t="inlineStr">
        <is>
          <t>2 – 0</t>
        </is>
      </c>
      <c r="R42" s="8" t="inlineStr">
        <is>
          <t>2.30 – 0.16</t>
        </is>
      </c>
    </row>
    <row r="43">
      <c r="A43" s="8" t="inlineStr">
        <is>
          <t>G</t>
        </is>
      </c>
      <c r="B43" s="8" t="inlineStr">
        <is>
          <t>21 jun</t>
        </is>
      </c>
      <c r="C43" s="8" t="inlineStr">
        <is>
          <t>16:00</t>
        </is>
      </c>
      <c r="D43" s="9" t="inlineStr">
        <is>
          <t>Hard Rock Stadium, Miami</t>
        </is>
      </c>
      <c r="E43" s="9" t="inlineStr">
        <is>
          <t>Uruguay</t>
        </is>
      </c>
      <c r="F43" s="8" t="n">
        <v>16</v>
      </c>
      <c r="G43" s="9" t="inlineStr">
        <is>
          <t>Cabo Verde</t>
        </is>
      </c>
      <c r="H43" s="8" t="n">
        <v>67</v>
      </c>
      <c r="I43" s="8">
        <f>ABS(F43-H43)</f>
        <v/>
      </c>
      <c r="J43" s="11" t="n">
        <v>0.549</v>
      </c>
      <c r="K43" s="11" t="n">
        <v>0.264</v>
      </c>
      <c r="L43" s="11" t="n">
        <v>0.186</v>
      </c>
      <c r="M43" s="15" t="inlineStr">
        <is>
          <t>2 – 2</t>
        </is>
      </c>
      <c r="N43" s="16" t="inlineStr">
        <is>
          <t>Empate</t>
        </is>
      </c>
      <c r="O43" s="15" t="inlineStr">
        <is>
          <t>Empate</t>
        </is>
      </c>
      <c r="P43" s="13" t="inlineStr">
        <is>
          <t>FINAL</t>
        </is>
      </c>
      <c r="Q43" s="14" t="inlineStr">
        <is>
          <t>1 – 0</t>
        </is>
      </c>
      <c r="R43" s="8" t="inlineStr">
        <is>
          <t>2.17 – 0.96</t>
        </is>
      </c>
    </row>
    <row r="44">
      <c r="A44" s="8" t="inlineStr">
        <is>
          <t>G</t>
        </is>
      </c>
      <c r="B44" s="8" t="inlineStr">
        <is>
          <t>26 jun</t>
        </is>
      </c>
      <c r="C44" s="8" t="inlineStr">
        <is>
          <t>18:00</t>
        </is>
      </c>
      <c r="D44" s="9" t="inlineStr">
        <is>
          <t>NRG Stadium, Houston</t>
        </is>
      </c>
      <c r="E44" s="9" t="inlineStr">
        <is>
          <t>Cabo Verde</t>
        </is>
      </c>
      <c r="F44" s="8" t="n">
        <v>67</v>
      </c>
      <c r="G44" s="9" t="inlineStr">
        <is>
          <t>Arabia Saudita</t>
        </is>
      </c>
      <c r="H44" s="8" t="n">
        <v>61</v>
      </c>
      <c r="I44" s="8">
        <f>ABS(F44-H44)</f>
        <v/>
      </c>
      <c r="J44" s="11" t="n">
        <v>0.437</v>
      </c>
      <c r="K44" s="11" t="n">
        <v>0.294</v>
      </c>
      <c r="L44" s="11" t="n">
        <v>0.269</v>
      </c>
      <c r="M44" s="15" t="inlineStr">
        <is>
          <t>0 – 0</t>
        </is>
      </c>
      <c r="N44" s="16" t="inlineStr">
        <is>
          <t>Empate</t>
        </is>
      </c>
      <c r="O44" s="15" t="inlineStr">
        <is>
          <t>Empate</t>
        </is>
      </c>
      <c r="P44" s="13" t="inlineStr">
        <is>
          <t>FINAL</t>
        </is>
      </c>
      <c r="Q44" s="14" t="inlineStr">
        <is>
          <t>1 – 1</t>
        </is>
      </c>
      <c r="R44" s="8" t="inlineStr">
        <is>
          <t>1.52 – 0.40</t>
        </is>
      </c>
    </row>
    <row r="45">
      <c r="A45" s="8" t="inlineStr">
        <is>
          <t>G</t>
        </is>
      </c>
      <c r="B45" s="8" t="inlineStr">
        <is>
          <t>26 jun</t>
        </is>
      </c>
      <c r="C45" s="8" t="inlineStr">
        <is>
          <t>18:00</t>
        </is>
      </c>
      <c r="D45" s="9" t="inlineStr">
        <is>
          <t>Estadio Akron, Guadalajara</t>
        </is>
      </c>
      <c r="E45" s="9" t="inlineStr">
        <is>
          <t>Uruguay</t>
        </is>
      </c>
      <c r="F45" s="8" t="n">
        <v>16</v>
      </c>
      <c r="G45" s="10" t="inlineStr">
        <is>
          <t>España</t>
        </is>
      </c>
      <c r="H45" s="8" t="n">
        <v>2</v>
      </c>
      <c r="I45" s="8">
        <f>ABS(F45-H45)</f>
        <v/>
      </c>
      <c r="J45" s="11" t="n">
        <v>0.107</v>
      </c>
      <c r="K45" s="11" t="n">
        <v>0.239</v>
      </c>
      <c r="L45" s="11" t="n">
        <v>0.655</v>
      </c>
      <c r="M45" s="8" t="inlineStr">
        <is>
          <t>0 – 1</t>
        </is>
      </c>
      <c r="N45" s="10" t="inlineStr">
        <is>
          <t>Ganó España</t>
        </is>
      </c>
      <c r="O45" s="12" t="inlineStr">
        <is>
          <t>España</t>
        </is>
      </c>
      <c r="P45" s="13" t="inlineStr">
        <is>
          <t>FINAL</t>
        </is>
      </c>
      <c r="Q45" s="14" t="inlineStr">
        <is>
          <t>0 – 1</t>
        </is>
      </c>
      <c r="R45" s="8" t="inlineStr">
        <is>
          <t>—</t>
        </is>
      </c>
    </row>
    <row r="46">
      <c r="A46" s="8" t="inlineStr">
        <is>
          <t>H</t>
        </is>
      </c>
      <c r="B46" s="8" t="inlineStr">
        <is>
          <t>15 jun</t>
        </is>
      </c>
      <c r="C46" s="8" t="inlineStr">
        <is>
          <t>13:00</t>
        </is>
      </c>
      <c r="D46" s="9" t="inlineStr">
        <is>
          <t>Lumen Field, Seattle</t>
        </is>
      </c>
      <c r="E46" s="9" t="inlineStr">
        <is>
          <t>Bélgica</t>
        </is>
      </c>
      <c r="F46" s="8" t="n">
        <v>9</v>
      </c>
      <c r="G46" s="9" t="inlineStr">
        <is>
          <t>Egipto</t>
        </is>
      </c>
      <c r="H46" s="8" t="n">
        <v>29</v>
      </c>
      <c r="I46" s="8">
        <f>ABS(F46-H46)</f>
        <v/>
      </c>
      <c r="J46" s="11" t="n">
        <v>0.609</v>
      </c>
      <c r="K46" s="11" t="n">
        <v>0.231</v>
      </c>
      <c r="L46" s="11" t="n">
        <v>0.16</v>
      </c>
      <c r="M46" s="15" t="inlineStr">
        <is>
          <t>1 – 1</t>
        </is>
      </c>
      <c r="N46" s="16" t="inlineStr">
        <is>
          <t>Empate</t>
        </is>
      </c>
      <c r="O46" s="15" t="inlineStr">
        <is>
          <t>Empate</t>
        </is>
      </c>
      <c r="P46" s="13" t="inlineStr">
        <is>
          <t>FINAL</t>
        </is>
      </c>
      <c r="Q46" s="14" t="inlineStr">
        <is>
          <t>1 – 0</t>
        </is>
      </c>
      <c r="R46" s="8" t="inlineStr">
        <is>
          <t>—</t>
        </is>
      </c>
    </row>
    <row r="47">
      <c r="A47" s="8" t="inlineStr">
        <is>
          <t>H</t>
        </is>
      </c>
      <c r="B47" s="8" t="inlineStr">
        <is>
          <t>15 jun</t>
        </is>
      </c>
      <c r="C47" s="8" t="inlineStr">
        <is>
          <t>19:00</t>
        </is>
      </c>
      <c r="D47" s="9" t="inlineStr">
        <is>
          <t>SoFi Stadium, Los Angeles</t>
        </is>
      </c>
      <c r="E47" s="9" t="inlineStr">
        <is>
          <t>Irán</t>
        </is>
      </c>
      <c r="F47" s="8" t="n">
        <v>20</v>
      </c>
      <c r="G47" s="9" t="inlineStr">
        <is>
          <t>Nueva Zelanda</t>
        </is>
      </c>
      <c r="H47" s="8" t="n">
        <v>85</v>
      </c>
      <c r="I47" s="8">
        <f>ABS(F47-H47)</f>
        <v/>
      </c>
      <c r="J47" s="11" t="n">
        <v>0.605</v>
      </c>
      <c r="K47" s="11" t="n">
        <v>0.225</v>
      </c>
      <c r="L47" s="11" t="n">
        <v>0.17</v>
      </c>
      <c r="M47" s="15" t="inlineStr">
        <is>
          <t>2 – 2</t>
        </is>
      </c>
      <c r="N47" s="16" t="inlineStr">
        <is>
          <t>Empate</t>
        </is>
      </c>
      <c r="O47" s="15" t="inlineStr">
        <is>
          <t>Empate</t>
        </is>
      </c>
      <c r="P47" s="13" t="inlineStr">
        <is>
          <t>FINAL</t>
        </is>
      </c>
      <c r="Q47" s="14" t="inlineStr">
        <is>
          <t>1 – 0</t>
        </is>
      </c>
      <c r="R47" s="8" t="inlineStr">
        <is>
          <t>—</t>
        </is>
      </c>
    </row>
    <row r="48">
      <c r="A48" s="8" t="inlineStr">
        <is>
          <t>H</t>
        </is>
      </c>
      <c r="B48" s="8" t="inlineStr">
        <is>
          <t>21 jun</t>
        </is>
      </c>
      <c r="C48" s="8" t="inlineStr">
        <is>
          <t>13:00</t>
        </is>
      </c>
      <c r="D48" s="9" t="inlineStr">
        <is>
          <t>SoFi Stadium, Los Angeles</t>
        </is>
      </c>
      <c r="E48" s="9" t="inlineStr">
        <is>
          <t>Bélgica</t>
        </is>
      </c>
      <c r="F48" s="8" t="n">
        <v>9</v>
      </c>
      <c r="G48" s="9" t="inlineStr">
        <is>
          <t>Irán</t>
        </is>
      </c>
      <c r="H48" s="8" t="n">
        <v>20</v>
      </c>
      <c r="I48" s="8">
        <f>ABS(F48-H48)</f>
        <v/>
      </c>
      <c r="J48" s="11" t="n">
        <v>0.577</v>
      </c>
      <c r="K48" s="11" t="n">
        <v>0.242</v>
      </c>
      <c r="L48" s="11" t="n">
        <v>0.181</v>
      </c>
      <c r="M48" s="15" t="inlineStr">
        <is>
          <t>0 – 0</t>
        </is>
      </c>
      <c r="N48" s="16" t="inlineStr">
        <is>
          <t>Empate</t>
        </is>
      </c>
      <c r="O48" s="15" t="inlineStr">
        <is>
          <t>Empate</t>
        </is>
      </c>
      <c r="P48" s="13" t="inlineStr">
        <is>
          <t>FINAL</t>
        </is>
      </c>
      <c r="Q48" s="14" t="inlineStr">
        <is>
          <t>1 – 1</t>
        </is>
      </c>
      <c r="R48" s="8" t="inlineStr">
        <is>
          <t>1.90 – 0.68</t>
        </is>
      </c>
    </row>
    <row r="49">
      <c r="A49" s="8" t="inlineStr">
        <is>
          <t>H</t>
        </is>
      </c>
      <c r="B49" s="8" t="inlineStr">
        <is>
          <t>21 jun</t>
        </is>
      </c>
      <c r="C49" s="8" t="inlineStr">
        <is>
          <t>19:00</t>
        </is>
      </c>
      <c r="D49" s="9" t="inlineStr">
        <is>
          <t>BC Place, Vancouver</t>
        </is>
      </c>
      <c r="E49" s="9" t="inlineStr">
        <is>
          <t>Nueva Zelanda</t>
        </is>
      </c>
      <c r="F49" s="8" t="n">
        <v>85</v>
      </c>
      <c r="G49" s="10" t="inlineStr">
        <is>
          <t>Egipto</t>
        </is>
      </c>
      <c r="H49" s="8" t="n">
        <v>29</v>
      </c>
      <c r="I49" s="8">
        <f>ABS(F49-H49)</f>
        <v/>
      </c>
      <c r="J49" s="11" t="n">
        <v>0.193</v>
      </c>
      <c r="K49" s="11" t="n">
        <v>0.237</v>
      </c>
      <c r="L49" s="11" t="n">
        <v>0.571</v>
      </c>
      <c r="M49" s="8" t="inlineStr">
        <is>
          <t>1 – 3</t>
        </is>
      </c>
      <c r="N49" s="10" t="inlineStr">
        <is>
          <t>Ganó Egipto</t>
        </is>
      </c>
      <c r="O49" s="12" t="inlineStr">
        <is>
          <t>Egipto</t>
        </is>
      </c>
      <c r="P49" s="13" t="inlineStr">
        <is>
          <t>FINAL</t>
        </is>
      </c>
      <c r="Q49" s="14" t="inlineStr">
        <is>
          <t>0 – 1</t>
        </is>
      </c>
      <c r="R49" s="8" t="inlineStr">
        <is>
          <t>1.29 – 1.96</t>
        </is>
      </c>
    </row>
    <row r="50">
      <c r="A50" s="8" t="inlineStr">
        <is>
          <t>H</t>
        </is>
      </c>
      <c r="B50" s="8" t="inlineStr">
        <is>
          <t>26 jun</t>
        </is>
      </c>
      <c r="C50" s="8" t="inlineStr">
        <is>
          <t>21:00</t>
        </is>
      </c>
      <c r="D50" s="9" t="inlineStr">
        <is>
          <t>Lumen Field, Seattle</t>
        </is>
      </c>
      <c r="E50" s="9" t="inlineStr">
        <is>
          <t>Egipto</t>
        </is>
      </c>
      <c r="F50" s="8" t="n">
        <v>29</v>
      </c>
      <c r="G50" s="9" t="inlineStr">
        <is>
          <t>Irán</t>
        </is>
      </c>
      <c r="H50" s="8" t="n">
        <v>20</v>
      </c>
      <c r="I50" s="8">
        <f>ABS(F50-H50)</f>
        <v/>
      </c>
      <c r="J50" s="11" t="n">
        <v>0.33</v>
      </c>
      <c r="K50" s="11" t="n">
        <v>0.279</v>
      </c>
      <c r="L50" s="11" t="n">
        <v>0.391</v>
      </c>
      <c r="M50" s="15" t="inlineStr">
        <is>
          <t>1 – 1</t>
        </is>
      </c>
      <c r="N50" s="16" t="inlineStr">
        <is>
          <t>Empate</t>
        </is>
      </c>
      <c r="O50" s="15" t="inlineStr">
        <is>
          <t>Empate</t>
        </is>
      </c>
      <c r="P50" s="13" t="inlineStr">
        <is>
          <t>FINAL</t>
        </is>
      </c>
      <c r="Q50" s="14" t="inlineStr">
        <is>
          <t>1 – 1</t>
        </is>
      </c>
      <c r="R50" s="8" t="inlineStr">
        <is>
          <t>0.84 – 1.97</t>
        </is>
      </c>
    </row>
    <row r="51">
      <c r="A51" s="8" t="inlineStr">
        <is>
          <t>H</t>
        </is>
      </c>
      <c r="B51" s="8" t="inlineStr">
        <is>
          <t>26 jun</t>
        </is>
      </c>
      <c r="C51" s="8" t="inlineStr">
        <is>
          <t>21:00</t>
        </is>
      </c>
      <c r="D51" s="9" t="inlineStr">
        <is>
          <t>BC Place, Vancouver</t>
        </is>
      </c>
      <c r="E51" s="9" t="inlineStr">
        <is>
          <t>Nueva Zelanda</t>
        </is>
      </c>
      <c r="F51" s="8" t="n">
        <v>85</v>
      </c>
      <c r="G51" s="10" t="inlineStr">
        <is>
          <t>Bélgica</t>
        </is>
      </c>
      <c r="H51" s="8" t="n">
        <v>9</v>
      </c>
      <c r="I51" s="8">
        <f>ABS(F51-H51)</f>
        <v/>
      </c>
      <c r="J51" s="11" t="n">
        <v>0.062</v>
      </c>
      <c r="K51" s="11" t="n">
        <v>0.136</v>
      </c>
      <c r="L51" s="11" t="n">
        <v>0.802</v>
      </c>
      <c r="M51" s="8" t="inlineStr">
        <is>
          <t>1 – 5</t>
        </is>
      </c>
      <c r="N51" s="10" t="inlineStr">
        <is>
          <t>Ganó Bélgica</t>
        </is>
      </c>
      <c r="O51" s="12" t="inlineStr">
        <is>
          <t>Bélgica</t>
        </is>
      </c>
      <c r="P51" s="13" t="inlineStr">
        <is>
          <t>FINAL</t>
        </is>
      </c>
      <c r="Q51" s="14" t="inlineStr">
        <is>
          <t>0 – 2</t>
        </is>
      </c>
      <c r="R51" s="8" t="inlineStr">
        <is>
          <t>0.25 – 3.65</t>
        </is>
      </c>
    </row>
    <row r="52">
      <c r="A52" s="8" t="inlineStr">
        <is>
          <t>I</t>
        </is>
      </c>
      <c r="B52" s="8" t="inlineStr">
        <is>
          <t>16 jun</t>
        </is>
      </c>
      <c r="C52" s="8" t="inlineStr">
        <is>
          <t>13:00</t>
        </is>
      </c>
      <c r="D52" s="9" t="inlineStr">
        <is>
          <t>MetLife Stadium, New York New Jersey</t>
        </is>
      </c>
      <c r="E52" s="10" t="inlineStr">
        <is>
          <t>Francia</t>
        </is>
      </c>
      <c r="F52" s="8" t="n">
        <v>3</v>
      </c>
      <c r="G52" s="9" t="inlineStr">
        <is>
          <t>Senegal</t>
        </is>
      </c>
      <c r="H52" s="8" t="n">
        <v>15</v>
      </c>
      <c r="I52" s="8">
        <f>ABS(F52-H52)</f>
        <v/>
      </c>
      <c r="J52" s="11" t="n">
        <v>0.711</v>
      </c>
      <c r="K52" s="11" t="n">
        <v>0.168</v>
      </c>
      <c r="L52" s="11" t="n">
        <v>0.121</v>
      </c>
      <c r="M52" s="8" t="inlineStr">
        <is>
          <t>3 – 1</t>
        </is>
      </c>
      <c r="N52" s="10" t="inlineStr">
        <is>
          <t>Ganó Francia</t>
        </is>
      </c>
      <c r="O52" s="12" t="inlineStr">
        <is>
          <t>Francia</t>
        </is>
      </c>
      <c r="P52" s="13" t="inlineStr">
        <is>
          <t>FINAL</t>
        </is>
      </c>
      <c r="Q52" s="14" t="inlineStr">
        <is>
          <t>1 – 0</t>
        </is>
      </c>
      <c r="R52" s="8" t="inlineStr">
        <is>
          <t>—</t>
        </is>
      </c>
    </row>
    <row r="53">
      <c r="A53" s="8" t="inlineStr">
        <is>
          <t>I</t>
        </is>
      </c>
      <c r="B53" s="8" t="inlineStr">
        <is>
          <t>16 jun</t>
        </is>
      </c>
      <c r="C53" s="8" t="inlineStr">
        <is>
          <t>16:00</t>
        </is>
      </c>
      <c r="D53" s="9" t="inlineStr">
        <is>
          <t>Gillette Stadium, Boston</t>
        </is>
      </c>
      <c r="E53" s="9" t="inlineStr">
        <is>
          <t>Irak</t>
        </is>
      </c>
      <c r="F53" s="8" t="n">
        <v>57</v>
      </c>
      <c r="G53" s="10" t="inlineStr">
        <is>
          <t>Noruega</t>
        </is>
      </c>
      <c r="H53" s="8" t="n">
        <v>31</v>
      </c>
      <c r="I53" s="8">
        <f>ABS(F53-H53)</f>
        <v/>
      </c>
      <c r="J53" s="11" t="n">
        <v>0.078</v>
      </c>
      <c r="K53" s="11" t="n">
        <v>0.137</v>
      </c>
      <c r="L53" s="11" t="n">
        <v>0.785</v>
      </c>
      <c r="M53" s="8" t="inlineStr">
        <is>
          <t>1 – 4</t>
        </is>
      </c>
      <c r="N53" s="10" t="inlineStr">
        <is>
          <t>Ganó Noruega</t>
        </is>
      </c>
      <c r="O53" s="12" t="inlineStr">
        <is>
          <t>Noruega</t>
        </is>
      </c>
      <c r="P53" s="13" t="inlineStr">
        <is>
          <t>FINAL</t>
        </is>
      </c>
      <c r="Q53" s="14" t="inlineStr">
        <is>
          <t>1 – 1</t>
        </is>
      </c>
      <c r="R53" s="8" t="inlineStr">
        <is>
          <t>—</t>
        </is>
      </c>
    </row>
    <row r="54">
      <c r="A54" s="8" t="inlineStr">
        <is>
          <t>I</t>
        </is>
      </c>
      <c r="B54" s="8" t="inlineStr">
        <is>
          <t>22 jun</t>
        </is>
      </c>
      <c r="C54" s="8" t="inlineStr">
        <is>
          <t>15:00</t>
        </is>
      </c>
      <c r="D54" s="9" t="inlineStr">
        <is>
          <t>Lincoln Financial Field, Philadelphia</t>
        </is>
      </c>
      <c r="E54" s="10" t="inlineStr">
        <is>
          <t>Francia</t>
        </is>
      </c>
      <c r="F54" s="8" t="n">
        <v>3</v>
      </c>
      <c r="G54" s="9" t="inlineStr">
        <is>
          <t>Irak</t>
        </is>
      </c>
      <c r="H54" s="8" t="n">
        <v>57</v>
      </c>
      <c r="I54" s="8">
        <f>ABS(F54-H54)</f>
        <v/>
      </c>
      <c r="J54" s="11" t="n">
        <v>0.963</v>
      </c>
      <c r="K54" s="11" t="n">
        <v>0.03</v>
      </c>
      <c r="L54" s="11" t="n">
        <v>0.008</v>
      </c>
      <c r="M54" s="8" t="inlineStr">
        <is>
          <t>3 – 0</t>
        </is>
      </c>
      <c r="N54" s="10" t="inlineStr">
        <is>
          <t>Ganó Francia</t>
        </is>
      </c>
      <c r="O54" s="12" t="inlineStr">
        <is>
          <t>Francia</t>
        </is>
      </c>
      <c r="P54" s="13" t="inlineStr">
        <is>
          <t>FINAL</t>
        </is>
      </c>
      <c r="Q54" s="14" t="inlineStr">
        <is>
          <t>2 – 0</t>
        </is>
      </c>
      <c r="R54" s="8" t="inlineStr">
        <is>
          <t>2.38 – 0.60</t>
        </is>
      </c>
    </row>
    <row r="55">
      <c r="A55" s="8" t="inlineStr">
        <is>
          <t>I</t>
        </is>
      </c>
      <c r="B55" s="8" t="inlineStr">
        <is>
          <t>22 jun</t>
        </is>
      </c>
      <c r="C55" s="8" t="inlineStr">
        <is>
          <t>18:00</t>
        </is>
      </c>
      <c r="D55" s="9" t="inlineStr">
        <is>
          <t>MetLife Stadium, New York New Jersey</t>
        </is>
      </c>
      <c r="E55" s="10" t="inlineStr">
        <is>
          <t>Noruega</t>
        </is>
      </c>
      <c r="F55" s="8" t="n">
        <v>31</v>
      </c>
      <c r="G55" s="9" t="inlineStr">
        <is>
          <t>Senegal</t>
        </is>
      </c>
      <c r="H55" s="8" t="n">
        <v>15</v>
      </c>
      <c r="I55" s="8">
        <f>ABS(F55-H55)</f>
        <v/>
      </c>
      <c r="J55" s="11" t="n">
        <v>0.336</v>
      </c>
      <c r="K55" s="11" t="n">
        <v>0.234</v>
      </c>
      <c r="L55" s="11" t="n">
        <v>0.43</v>
      </c>
      <c r="M55" s="8" t="inlineStr">
        <is>
          <t>3 – 2</t>
        </is>
      </c>
      <c r="N55" s="10" t="inlineStr">
        <is>
          <t>Ganó Noruega</t>
        </is>
      </c>
      <c r="O55" s="12" t="inlineStr">
        <is>
          <t>Noruega</t>
        </is>
      </c>
      <c r="P55" s="13" t="inlineStr">
        <is>
          <t>FINAL</t>
        </is>
      </c>
      <c r="Q55" s="14" t="inlineStr">
        <is>
          <t>0 – 1</t>
        </is>
      </c>
      <c r="R55" s="8" t="inlineStr">
        <is>
          <t>2.06 – 1.69</t>
        </is>
      </c>
    </row>
    <row r="56">
      <c r="A56" s="8" t="inlineStr">
        <is>
          <t>I</t>
        </is>
      </c>
      <c r="B56" s="8" t="inlineStr">
        <is>
          <t>26 jun</t>
        </is>
      </c>
      <c r="C56" s="8" t="inlineStr">
        <is>
          <t>13:00</t>
        </is>
      </c>
      <c r="D56" s="9" t="inlineStr">
        <is>
          <t>Gillette Stadium, Boston</t>
        </is>
      </c>
      <c r="E56" s="9" t="inlineStr">
        <is>
          <t>Noruega</t>
        </is>
      </c>
      <c r="F56" s="8" t="n">
        <v>31</v>
      </c>
      <c r="G56" s="10" t="inlineStr">
        <is>
          <t>Francia</t>
        </is>
      </c>
      <c r="H56" s="8" t="n">
        <v>3</v>
      </c>
      <c r="I56" s="8">
        <f>ABS(F56-H56)</f>
        <v/>
      </c>
      <c r="J56" s="11" t="n">
        <v>0.1</v>
      </c>
      <c r="K56" s="11" t="n">
        <v>0.158</v>
      </c>
      <c r="L56" s="11" t="n">
        <v>0.742</v>
      </c>
      <c r="M56" s="8" t="inlineStr">
        <is>
          <t>1 – 4</t>
        </is>
      </c>
      <c r="N56" s="10" t="inlineStr">
        <is>
          <t>Ganó Francia</t>
        </is>
      </c>
      <c r="O56" s="12" t="inlineStr">
        <is>
          <t>Francia</t>
        </is>
      </c>
      <c r="P56" s="13" t="inlineStr">
        <is>
          <t>FINAL</t>
        </is>
      </c>
      <c r="Q56" s="14" t="inlineStr">
        <is>
          <t>0 – 2</t>
        </is>
      </c>
      <c r="R56" s="8" t="inlineStr">
        <is>
          <t>—</t>
        </is>
      </c>
    </row>
    <row r="57">
      <c r="A57" s="8" t="inlineStr">
        <is>
          <t>I</t>
        </is>
      </c>
      <c r="B57" s="8" t="inlineStr">
        <is>
          <t>26 jun</t>
        </is>
      </c>
      <c r="C57" s="8" t="inlineStr">
        <is>
          <t>13:00</t>
        </is>
      </c>
      <c r="D57" s="9" t="inlineStr">
        <is>
          <t>BMO Field, Toronto</t>
        </is>
      </c>
      <c r="E57" s="10" t="inlineStr">
        <is>
          <t>Senegal</t>
        </is>
      </c>
      <c r="F57" s="8" t="n">
        <v>15</v>
      </c>
      <c r="G57" s="9" t="inlineStr">
        <is>
          <t>Irak</t>
        </is>
      </c>
      <c r="H57" s="8" t="n">
        <v>57</v>
      </c>
      <c r="I57" s="8">
        <f>ABS(F57-H57)</f>
        <v/>
      </c>
      <c r="J57" s="11" t="n">
        <v>0.828</v>
      </c>
      <c r="K57" s="11" t="n">
        <v>0.112</v>
      </c>
      <c r="L57" s="11" t="n">
        <v>0.06</v>
      </c>
      <c r="M57" s="8" t="inlineStr">
        <is>
          <t>5 – 0</t>
        </is>
      </c>
      <c r="N57" s="10" t="inlineStr">
        <is>
          <t>Ganó Senegal</t>
        </is>
      </c>
      <c r="O57" s="12" t="inlineStr">
        <is>
          <t>Senegal</t>
        </is>
      </c>
      <c r="P57" s="13" t="inlineStr">
        <is>
          <t>FINAL</t>
        </is>
      </c>
      <c r="Q57" s="14" t="inlineStr">
        <is>
          <t>1 – 0</t>
        </is>
      </c>
      <c r="R57" s="8" t="inlineStr">
        <is>
          <t>—</t>
        </is>
      </c>
    </row>
    <row r="58">
      <c r="A58" s="8" t="inlineStr">
        <is>
          <t>J</t>
        </is>
      </c>
      <c r="B58" s="8" t="inlineStr">
        <is>
          <t>17 jun</t>
        </is>
      </c>
      <c r="C58" s="8" t="inlineStr">
        <is>
          <t>14:00</t>
        </is>
      </c>
      <c r="D58" s="9" t="inlineStr">
        <is>
          <t>AT&amp;T Stadium, Dallas</t>
        </is>
      </c>
      <c r="E58" s="10" t="inlineStr">
        <is>
          <t>Inglaterra</t>
        </is>
      </c>
      <c r="F58" s="8" t="n">
        <v>4</v>
      </c>
      <c r="G58" s="9" t="inlineStr">
        <is>
          <t>Croacia</t>
        </is>
      </c>
      <c r="H58" s="8" t="n">
        <v>11</v>
      </c>
      <c r="I58" s="8">
        <f>ABS(F58-H58)</f>
        <v/>
      </c>
      <c r="J58" s="11" t="n">
        <v>0.522</v>
      </c>
      <c r="K58" s="11" t="n">
        <v>0.238</v>
      </c>
      <c r="L58" s="11" t="n">
        <v>0.24</v>
      </c>
      <c r="M58" s="8" t="inlineStr">
        <is>
          <t>4 – 2</t>
        </is>
      </c>
      <c r="N58" s="10" t="inlineStr">
        <is>
          <t>Ganó Inglaterra</t>
        </is>
      </c>
      <c r="O58" s="12" t="inlineStr">
        <is>
          <t>Inglaterra</t>
        </is>
      </c>
      <c r="P58" s="13" t="inlineStr">
        <is>
          <t>FINAL</t>
        </is>
      </c>
      <c r="Q58" s="14" t="inlineStr">
        <is>
          <t>1 – 1</t>
        </is>
      </c>
      <c r="R58" s="8" t="inlineStr">
        <is>
          <t>—</t>
        </is>
      </c>
    </row>
    <row r="59">
      <c r="A59" s="8" t="inlineStr">
        <is>
          <t>J</t>
        </is>
      </c>
      <c r="B59" s="8" t="inlineStr">
        <is>
          <t>17 jun</t>
        </is>
      </c>
      <c r="C59" s="8" t="inlineStr">
        <is>
          <t>17:00</t>
        </is>
      </c>
      <c r="D59" s="9" t="inlineStr">
        <is>
          <t>BMO Field, Toronto</t>
        </is>
      </c>
      <c r="E59" s="10" t="inlineStr">
        <is>
          <t>Ghana</t>
        </is>
      </c>
      <c r="F59" s="8" t="n">
        <v>73</v>
      </c>
      <c r="G59" s="9" t="inlineStr">
        <is>
          <t>Panamá</t>
        </is>
      </c>
      <c r="H59" s="8" t="n">
        <v>34</v>
      </c>
      <c r="I59" s="8">
        <f>ABS(F59-H59)</f>
        <v/>
      </c>
      <c r="J59" s="11" t="n">
        <v>0.244</v>
      </c>
      <c r="K59" s="11" t="n">
        <v>0.331</v>
      </c>
      <c r="L59" s="11" t="n">
        <v>0.426</v>
      </c>
      <c r="M59" s="8" t="inlineStr">
        <is>
          <t>1 – 0</t>
        </is>
      </c>
      <c r="N59" s="10" t="inlineStr">
        <is>
          <t>Ganó Ghana</t>
        </is>
      </c>
      <c r="O59" s="12" t="inlineStr">
        <is>
          <t>Ghana</t>
        </is>
      </c>
      <c r="P59" s="13" t="inlineStr">
        <is>
          <t>FINAL</t>
        </is>
      </c>
      <c r="Q59" s="14" t="inlineStr">
        <is>
          <t>0 – 1</t>
        </is>
      </c>
      <c r="R59" s="8" t="inlineStr">
        <is>
          <t>—</t>
        </is>
      </c>
    </row>
    <row r="60">
      <c r="A60" s="8" t="inlineStr">
        <is>
          <t>J</t>
        </is>
      </c>
      <c r="B60" s="8" t="inlineStr">
        <is>
          <t>23 jun</t>
        </is>
      </c>
      <c r="C60" s="8" t="inlineStr">
        <is>
          <t>14:00</t>
        </is>
      </c>
      <c r="D60" s="9" t="inlineStr">
        <is>
          <t>Gillette Stadium, Boston</t>
        </is>
      </c>
      <c r="E60" s="9" t="inlineStr">
        <is>
          <t>Inglaterra</t>
        </is>
      </c>
      <c r="F60" s="8" t="n">
        <v>4</v>
      </c>
      <c r="G60" s="9" t="inlineStr">
        <is>
          <t>Ghana</t>
        </is>
      </c>
      <c r="H60" s="8" t="n">
        <v>73</v>
      </c>
      <c r="I60" s="8">
        <f>ABS(F60-H60)</f>
        <v/>
      </c>
      <c r="J60" s="11" t="n">
        <v>0.8149999999999999</v>
      </c>
      <c r="K60" s="11" t="n">
        <v>0.137</v>
      </c>
      <c r="L60" s="11" t="n">
        <v>0.048</v>
      </c>
      <c r="M60" s="15" t="inlineStr">
        <is>
          <t>0 – 0</t>
        </is>
      </c>
      <c r="N60" s="16" t="inlineStr">
        <is>
          <t>Empate</t>
        </is>
      </c>
      <c r="O60" s="15" t="inlineStr">
        <is>
          <t>Empate</t>
        </is>
      </c>
      <c r="P60" s="13" t="inlineStr">
        <is>
          <t>FINAL</t>
        </is>
      </c>
      <c r="Q60" s="14" t="inlineStr">
        <is>
          <t>2 – 0</t>
        </is>
      </c>
      <c r="R60" s="8" t="inlineStr">
        <is>
          <t>1.40 – 0.18</t>
        </is>
      </c>
    </row>
    <row r="61">
      <c r="A61" s="8" t="inlineStr">
        <is>
          <t>J</t>
        </is>
      </c>
      <c r="B61" s="8" t="inlineStr">
        <is>
          <t>23 jun</t>
        </is>
      </c>
      <c r="C61" s="8" t="inlineStr">
        <is>
          <t>17:00</t>
        </is>
      </c>
      <c r="D61" s="9" t="inlineStr">
        <is>
          <t>BMO Field, Toronto</t>
        </is>
      </c>
      <c r="E61" s="9" t="inlineStr">
        <is>
          <t>Panamá</t>
        </is>
      </c>
      <c r="F61" s="8" t="n">
        <v>34</v>
      </c>
      <c r="G61" s="10" t="inlineStr">
        <is>
          <t>Croacia</t>
        </is>
      </c>
      <c r="H61" s="8" t="n">
        <v>11</v>
      </c>
      <c r="I61" s="8">
        <f>ABS(F61-H61)</f>
        <v/>
      </c>
      <c r="J61" s="11" t="n">
        <v>0.151</v>
      </c>
      <c r="K61" s="11" t="n">
        <v>0.237</v>
      </c>
      <c r="L61" s="11" t="n">
        <v>0.612</v>
      </c>
      <c r="M61" s="8" t="inlineStr">
        <is>
          <t>0 – 1</t>
        </is>
      </c>
      <c r="N61" s="10" t="inlineStr">
        <is>
          <t>Ganó Croacia</t>
        </is>
      </c>
      <c r="O61" s="12" t="inlineStr">
        <is>
          <t>Croacia</t>
        </is>
      </c>
      <c r="P61" s="13" t="inlineStr">
        <is>
          <t>FINAL</t>
        </is>
      </c>
      <c r="Q61" s="14" t="inlineStr">
        <is>
          <t>0 – 1</t>
        </is>
      </c>
      <c r="R61" s="8" t="inlineStr">
        <is>
          <t>0.54 – 1.63</t>
        </is>
      </c>
    </row>
    <row r="62">
      <c r="A62" s="8" t="inlineStr">
        <is>
          <t>J</t>
        </is>
      </c>
      <c r="B62" s="8" t="inlineStr">
        <is>
          <t>27 jun</t>
        </is>
      </c>
      <c r="C62" s="8" t="inlineStr">
        <is>
          <t>15:00</t>
        </is>
      </c>
      <c r="D62" s="9" t="inlineStr">
        <is>
          <t>Lincoln Financial Field, Philadelphia</t>
        </is>
      </c>
      <c r="E62" s="10" t="inlineStr">
        <is>
          <t>Croacia</t>
        </is>
      </c>
      <c r="F62" s="8" t="n">
        <v>11</v>
      </c>
      <c r="G62" s="9" t="inlineStr">
        <is>
          <t>Ghana</t>
        </is>
      </c>
      <c r="H62" s="8" t="n">
        <v>73</v>
      </c>
      <c r="I62" s="8">
        <f>ABS(F62-H62)</f>
        <v/>
      </c>
      <c r="J62" s="11" t="n">
        <v>0.726</v>
      </c>
      <c r="K62" s="11" t="n">
        <v>0.183</v>
      </c>
      <c r="L62" s="11" t="n">
        <v>0.091</v>
      </c>
      <c r="M62" s="8" t="inlineStr">
        <is>
          <t>2 – 1</t>
        </is>
      </c>
      <c r="N62" s="10" t="inlineStr">
        <is>
          <t>Ganó Croacia</t>
        </is>
      </c>
      <c r="O62" s="12" t="inlineStr">
        <is>
          <t>Croacia</t>
        </is>
      </c>
      <c r="P62" s="13" t="inlineStr">
        <is>
          <t>FINAL</t>
        </is>
      </c>
      <c r="Q62" s="14" t="inlineStr">
        <is>
          <t>2 – 0</t>
        </is>
      </c>
      <c r="R62" s="8" t="inlineStr">
        <is>
          <t>—</t>
        </is>
      </c>
    </row>
    <row r="63">
      <c r="A63" s="8" t="inlineStr">
        <is>
          <t>J</t>
        </is>
      </c>
      <c r="B63" s="8" t="inlineStr">
        <is>
          <t>27 jun</t>
        </is>
      </c>
      <c r="C63" s="8" t="inlineStr">
        <is>
          <t>15:00</t>
        </is>
      </c>
      <c r="D63" s="9" t="inlineStr">
        <is>
          <t>MetLife Stadium, New York New Jersey</t>
        </is>
      </c>
      <c r="E63" s="9" t="inlineStr">
        <is>
          <t>Panamá</t>
        </is>
      </c>
      <c r="F63" s="8" t="n">
        <v>34</v>
      </c>
      <c r="G63" s="10" t="inlineStr">
        <is>
          <t>Inglaterra</t>
        </is>
      </c>
      <c r="H63" s="8" t="n">
        <v>4</v>
      </c>
      <c r="I63" s="8">
        <f>ABS(F63-H63)</f>
        <v/>
      </c>
      <c r="J63" s="11" t="n">
        <v>0.08599999999999999</v>
      </c>
      <c r="K63" s="11" t="n">
        <v>0.195</v>
      </c>
      <c r="L63" s="11" t="n">
        <v>0.719</v>
      </c>
      <c r="M63" s="8" t="inlineStr">
        <is>
          <t>0 – 2</t>
        </is>
      </c>
      <c r="N63" s="10" t="inlineStr">
        <is>
          <t>Ganó Inglaterra</t>
        </is>
      </c>
      <c r="O63" s="12" t="inlineStr">
        <is>
          <t>Inglaterra</t>
        </is>
      </c>
      <c r="P63" s="13" t="inlineStr">
        <is>
          <t>FINAL</t>
        </is>
      </c>
      <c r="Q63" s="14" t="inlineStr">
        <is>
          <t>0 – 1</t>
        </is>
      </c>
      <c r="R63" s="8" t="inlineStr">
        <is>
          <t>—</t>
        </is>
      </c>
    </row>
    <row r="64">
      <c r="A64" s="8" t="inlineStr">
        <is>
          <t>K</t>
        </is>
      </c>
      <c r="B64" s="8" t="inlineStr">
        <is>
          <t>17 jun</t>
        </is>
      </c>
      <c r="C64" s="8" t="inlineStr">
        <is>
          <t>11:00</t>
        </is>
      </c>
      <c r="D64" s="9" t="inlineStr">
        <is>
          <t>NRG Stadium, Houston</t>
        </is>
      </c>
      <c r="E64" s="9" t="inlineStr">
        <is>
          <t>Portugal</t>
        </is>
      </c>
      <c r="F64" s="8" t="n">
        <v>5</v>
      </c>
      <c r="G64" s="9" t="inlineStr">
        <is>
          <t>RD Congo</t>
        </is>
      </c>
      <c r="H64" s="8" t="n">
        <v>46</v>
      </c>
      <c r="I64" s="8">
        <f>ABS(F64-H64)</f>
        <v/>
      </c>
      <c r="J64" s="11" t="n">
        <v>0.511</v>
      </c>
      <c r="K64" s="11" t="n">
        <v>0.285</v>
      </c>
      <c r="L64" s="11" t="n">
        <v>0.205</v>
      </c>
      <c r="M64" s="15" t="inlineStr">
        <is>
          <t>1 – 1</t>
        </is>
      </c>
      <c r="N64" s="16" t="inlineStr">
        <is>
          <t>Empate</t>
        </is>
      </c>
      <c r="O64" s="15" t="inlineStr">
        <is>
          <t>Empate</t>
        </is>
      </c>
      <c r="P64" s="13" t="inlineStr">
        <is>
          <t>FINAL</t>
        </is>
      </c>
      <c r="Q64" s="14" t="inlineStr">
        <is>
          <t>1 – 0</t>
        </is>
      </c>
      <c r="R64" s="8" t="inlineStr">
        <is>
          <t>—</t>
        </is>
      </c>
    </row>
    <row r="65">
      <c r="A65" s="8" t="inlineStr">
        <is>
          <t>K</t>
        </is>
      </c>
      <c r="B65" s="8" t="inlineStr">
        <is>
          <t>17 jun</t>
        </is>
      </c>
      <c r="C65" s="8" t="inlineStr">
        <is>
          <t>20:00</t>
        </is>
      </c>
      <c r="D65" s="9" t="inlineStr">
        <is>
          <t>Estadio Azteca, Mexico City</t>
        </is>
      </c>
      <c r="E65" s="9" t="inlineStr">
        <is>
          <t>Uzbekistán</t>
        </is>
      </c>
      <c r="F65" s="8" t="n">
        <v>50</v>
      </c>
      <c r="G65" s="10" t="inlineStr">
        <is>
          <t>Colombia</t>
        </is>
      </c>
      <c r="H65" s="8" t="n">
        <v>13</v>
      </c>
      <c r="I65" s="8">
        <f>ABS(F65-H65)</f>
        <v/>
      </c>
      <c r="J65" s="11" t="n">
        <v>0.079</v>
      </c>
      <c r="K65" s="11" t="n">
        <v>0.182</v>
      </c>
      <c r="L65" s="11" t="n">
        <v>0.739</v>
      </c>
      <c r="M65" s="8" t="inlineStr">
        <is>
          <t>1 – 3</t>
        </is>
      </c>
      <c r="N65" s="10" t="inlineStr">
        <is>
          <t>Ganó Colombia</t>
        </is>
      </c>
      <c r="O65" s="12" t="inlineStr">
        <is>
          <t>Colombia</t>
        </is>
      </c>
      <c r="P65" s="13" t="inlineStr">
        <is>
          <t>FINAL</t>
        </is>
      </c>
      <c r="Q65" s="14" t="inlineStr">
        <is>
          <t>0 – 1</t>
        </is>
      </c>
      <c r="R65" s="8" t="inlineStr">
        <is>
          <t>—</t>
        </is>
      </c>
    </row>
    <row r="66">
      <c r="A66" s="8" t="inlineStr">
        <is>
          <t>K</t>
        </is>
      </c>
      <c r="B66" s="8" t="inlineStr">
        <is>
          <t>23 jun</t>
        </is>
      </c>
      <c r="C66" s="8" t="inlineStr">
        <is>
          <t>11:00</t>
        </is>
      </c>
      <c r="D66" s="9" t="inlineStr">
        <is>
          <t>NRG Stadium, Houston</t>
        </is>
      </c>
      <c r="E66" s="10" t="inlineStr">
        <is>
          <t>Portugal</t>
        </is>
      </c>
      <c r="F66" s="8" t="n">
        <v>5</v>
      </c>
      <c r="G66" s="9" t="inlineStr">
        <is>
          <t>Uzbekistán</t>
        </is>
      </c>
      <c r="H66" s="8" t="n">
        <v>50</v>
      </c>
      <c r="I66" s="8">
        <f>ABS(F66-H66)</f>
        <v/>
      </c>
      <c r="J66" s="11" t="n">
        <v>0.668</v>
      </c>
      <c r="K66" s="11" t="n">
        <v>0.212</v>
      </c>
      <c r="L66" s="11" t="n">
        <v>0.12</v>
      </c>
      <c r="M66" s="8" t="inlineStr">
        <is>
          <t>5 – 0</t>
        </is>
      </c>
      <c r="N66" s="10" t="inlineStr">
        <is>
          <t>Ganó Portugal</t>
        </is>
      </c>
      <c r="O66" s="12" t="inlineStr">
        <is>
          <t>Portugal</t>
        </is>
      </c>
      <c r="P66" s="13" t="inlineStr">
        <is>
          <t>FINAL</t>
        </is>
      </c>
      <c r="Q66" s="14" t="inlineStr">
        <is>
          <t>1 – 0</t>
        </is>
      </c>
      <c r="R66" s="8" t="inlineStr">
        <is>
          <t>2.59 – 0.33</t>
        </is>
      </c>
    </row>
    <row r="67">
      <c r="A67" s="8" t="inlineStr">
        <is>
          <t>K</t>
        </is>
      </c>
      <c r="B67" s="8" t="inlineStr">
        <is>
          <t>23 jun</t>
        </is>
      </c>
      <c r="C67" s="8" t="inlineStr">
        <is>
          <t>20:00</t>
        </is>
      </c>
      <c r="D67" s="9" t="inlineStr">
        <is>
          <t>Estadio Akron, Guadalajara</t>
        </is>
      </c>
      <c r="E67" s="10" t="inlineStr">
        <is>
          <t>Colombia</t>
        </is>
      </c>
      <c r="F67" s="8" t="n">
        <v>13</v>
      </c>
      <c r="G67" s="9" t="inlineStr">
        <is>
          <t>RD Congo</t>
        </is>
      </c>
      <c r="H67" s="8" t="n">
        <v>46</v>
      </c>
      <c r="I67" s="8">
        <f>ABS(F67-H67)</f>
        <v/>
      </c>
      <c r="J67" s="11" t="n">
        <v>0.588</v>
      </c>
      <c r="K67" s="11" t="n">
        <v>0.265</v>
      </c>
      <c r="L67" s="11" t="n">
        <v>0.146</v>
      </c>
      <c r="M67" s="8" t="inlineStr">
        <is>
          <t>1 – 0</t>
        </is>
      </c>
      <c r="N67" s="10" t="inlineStr">
        <is>
          <t>Ganó Colombia</t>
        </is>
      </c>
      <c r="O67" s="12" t="inlineStr">
        <is>
          <t>Colombia</t>
        </is>
      </c>
      <c r="P67" s="13" t="inlineStr">
        <is>
          <t>FINAL</t>
        </is>
      </c>
      <c r="Q67" s="14" t="inlineStr">
        <is>
          <t>1 – 0</t>
        </is>
      </c>
      <c r="R67" s="8" t="inlineStr">
        <is>
          <t>0.98 – 0.37</t>
        </is>
      </c>
    </row>
    <row r="68">
      <c r="A68" s="8" t="inlineStr">
        <is>
          <t>K</t>
        </is>
      </c>
      <c r="B68" s="8" t="inlineStr">
        <is>
          <t>27 jun</t>
        </is>
      </c>
      <c r="C68" s="8" t="inlineStr">
        <is>
          <t>17:30</t>
        </is>
      </c>
      <c r="D68" s="9" t="inlineStr">
        <is>
          <t>Hard Rock Stadium, Miami</t>
        </is>
      </c>
      <c r="E68" s="9" t="inlineStr">
        <is>
          <t>Colombia</t>
        </is>
      </c>
      <c r="F68" s="8" t="n">
        <v>13</v>
      </c>
      <c r="G68" s="9" t="inlineStr">
        <is>
          <t>Portugal</t>
        </is>
      </c>
      <c r="H68" s="8" t="n">
        <v>5</v>
      </c>
      <c r="I68" s="8">
        <f>ABS(F68-H68)</f>
        <v/>
      </c>
      <c r="J68" s="11" t="n">
        <v>0.413</v>
      </c>
      <c r="K68" s="11" t="n">
        <v>0.329</v>
      </c>
      <c r="L68" s="11" t="n">
        <v>0.258</v>
      </c>
      <c r="M68" s="15" t="inlineStr">
        <is>
          <t>0 – 0</t>
        </is>
      </c>
      <c r="N68" s="16" t="inlineStr">
        <is>
          <t>Empate</t>
        </is>
      </c>
      <c r="O68" s="15" t="inlineStr">
        <is>
          <t>Empate</t>
        </is>
      </c>
      <c r="P68" s="13" t="inlineStr">
        <is>
          <t>FINAL</t>
        </is>
      </c>
      <c r="Q68" s="14" t="inlineStr">
        <is>
          <t>1 – 1</t>
        </is>
      </c>
      <c r="R68" s="8" t="inlineStr">
        <is>
          <t>—</t>
        </is>
      </c>
    </row>
    <row r="69">
      <c r="A69" s="8" t="inlineStr">
        <is>
          <t>K</t>
        </is>
      </c>
      <c r="B69" s="8" t="inlineStr">
        <is>
          <t>27 jun</t>
        </is>
      </c>
      <c r="C69" s="8" t="inlineStr">
        <is>
          <t>17:30</t>
        </is>
      </c>
      <c r="D69" s="9" t="inlineStr">
        <is>
          <t>Mercedes-Benz Stadium, Atlanta</t>
        </is>
      </c>
      <c r="E69" s="10" t="inlineStr">
        <is>
          <t>RD Congo</t>
        </is>
      </c>
      <c r="F69" s="8" t="n">
        <v>46</v>
      </c>
      <c r="G69" s="9" t="inlineStr">
        <is>
          <t>Uzbekistán</t>
        </is>
      </c>
      <c r="H69" s="8" t="n">
        <v>50</v>
      </c>
      <c r="I69" s="8">
        <f>ABS(F69-H69)</f>
        <v/>
      </c>
      <c r="J69" s="11" t="n">
        <v>0.503</v>
      </c>
      <c r="K69" s="11" t="n">
        <v>0.261</v>
      </c>
      <c r="L69" s="11" t="n">
        <v>0.236</v>
      </c>
      <c r="M69" s="8" t="inlineStr">
        <is>
          <t>3 – 1</t>
        </is>
      </c>
      <c r="N69" s="10" t="inlineStr">
        <is>
          <t>Ganó RD Congo</t>
        </is>
      </c>
      <c r="O69" s="12" t="inlineStr">
        <is>
          <t>RD Congo</t>
        </is>
      </c>
      <c r="P69" s="13" t="inlineStr">
        <is>
          <t>FINAL</t>
        </is>
      </c>
      <c r="Q69" s="14" t="inlineStr">
        <is>
          <t>1 – 1</t>
        </is>
      </c>
      <c r="R69" s="8" t="inlineStr">
        <is>
          <t>—</t>
        </is>
      </c>
    </row>
    <row r="70">
      <c r="A70" s="8" t="inlineStr">
        <is>
          <t>L</t>
        </is>
      </c>
      <c r="B70" s="8" t="inlineStr">
        <is>
          <t>16 jun</t>
        </is>
      </c>
      <c r="C70" s="8" t="inlineStr">
        <is>
          <t>19:00</t>
        </is>
      </c>
      <c r="D70" s="9" t="inlineStr">
        <is>
          <t>Arrowhead Stadium, Kansas City</t>
        </is>
      </c>
      <c r="E70" s="10" t="inlineStr">
        <is>
          <t>Argentina</t>
        </is>
      </c>
      <c r="F70" s="8" t="n">
        <v>1</v>
      </c>
      <c r="G70" s="9" t="inlineStr">
        <is>
          <t>Argelia</t>
        </is>
      </c>
      <c r="H70" s="8" t="n">
        <v>28</v>
      </c>
      <c r="I70" s="8">
        <f>ABS(F70-H70)</f>
        <v/>
      </c>
      <c r="J70" s="11" t="n">
        <v>0.799</v>
      </c>
      <c r="K70" s="11" t="n">
        <v>0.135</v>
      </c>
      <c r="L70" s="11" t="n">
        <v>0.065</v>
      </c>
      <c r="M70" s="8" t="inlineStr">
        <is>
          <t>3 – 0</t>
        </is>
      </c>
      <c r="N70" s="10" t="inlineStr">
        <is>
          <t>Ganó Argentina</t>
        </is>
      </c>
      <c r="O70" s="12" t="inlineStr">
        <is>
          <t>Argentina</t>
        </is>
      </c>
      <c r="P70" s="13" t="inlineStr">
        <is>
          <t>FINAL</t>
        </is>
      </c>
      <c r="Q70" s="14" t="inlineStr">
        <is>
          <t>2 – 0</t>
        </is>
      </c>
      <c r="R70" s="8" t="inlineStr">
        <is>
          <t>—</t>
        </is>
      </c>
    </row>
    <row r="71">
      <c r="A71" s="8" t="inlineStr">
        <is>
          <t>L</t>
        </is>
      </c>
      <c r="B71" s="8" t="inlineStr">
        <is>
          <t>16 jun</t>
        </is>
      </c>
      <c r="C71" s="8" t="inlineStr">
        <is>
          <t>22:00</t>
        </is>
      </c>
      <c r="D71" s="9" t="inlineStr">
        <is>
          <t>Levi's Stadium, San Francisco Bay Area</t>
        </is>
      </c>
      <c r="E71" s="10" t="inlineStr">
        <is>
          <t>Austria</t>
        </is>
      </c>
      <c r="F71" s="8" t="n">
        <v>24</v>
      </c>
      <c r="G71" s="9" t="inlineStr">
        <is>
          <t>Jordania</t>
        </is>
      </c>
      <c r="H71" s="8" t="n">
        <v>63</v>
      </c>
      <c r="I71" s="8">
        <f>ABS(F71-H71)</f>
        <v/>
      </c>
      <c r="J71" s="11" t="n">
        <v>0.5570000000000001</v>
      </c>
      <c r="K71" s="11" t="n">
        <v>0.227</v>
      </c>
      <c r="L71" s="11" t="n">
        <v>0.216</v>
      </c>
      <c r="M71" s="8" t="inlineStr">
        <is>
          <t>3 – 1</t>
        </is>
      </c>
      <c r="N71" s="10" t="inlineStr">
        <is>
          <t>Ganó Austria</t>
        </is>
      </c>
      <c r="O71" s="12" t="inlineStr">
        <is>
          <t>Austria</t>
        </is>
      </c>
      <c r="P71" s="13" t="inlineStr">
        <is>
          <t>FINAL</t>
        </is>
      </c>
      <c r="Q71" s="14" t="inlineStr">
        <is>
          <t>1 – 0</t>
        </is>
      </c>
      <c r="R71" s="8" t="inlineStr">
        <is>
          <t>—</t>
        </is>
      </c>
    </row>
    <row r="72">
      <c r="A72" s="8" t="inlineStr">
        <is>
          <t>L</t>
        </is>
      </c>
      <c r="B72" s="8" t="inlineStr">
        <is>
          <t>22 jun</t>
        </is>
      </c>
      <c r="C72" s="8" t="inlineStr">
        <is>
          <t>11:00</t>
        </is>
      </c>
      <c r="D72" s="9" t="inlineStr">
        <is>
          <t>AT&amp;T Stadium, Dallas</t>
        </is>
      </c>
      <c r="E72" s="10" t="inlineStr">
        <is>
          <t>Argentina</t>
        </is>
      </c>
      <c r="F72" s="8" t="n">
        <v>1</v>
      </c>
      <c r="G72" s="9" t="inlineStr">
        <is>
          <t>Austria</t>
        </is>
      </c>
      <c r="H72" s="8" t="n">
        <v>24</v>
      </c>
      <c r="I72" s="8">
        <f>ABS(F72-H72)</f>
        <v/>
      </c>
      <c r="J72" s="11" t="n">
        <v>0.805</v>
      </c>
      <c r="K72" s="11" t="n">
        <v>0.126</v>
      </c>
      <c r="L72" s="11" t="n">
        <v>0.06900000000000001</v>
      </c>
      <c r="M72" s="8" t="inlineStr">
        <is>
          <t>2 – 0</t>
        </is>
      </c>
      <c r="N72" s="10" t="inlineStr">
        <is>
          <t>Ganó Argentina</t>
        </is>
      </c>
      <c r="O72" s="12" t="inlineStr">
        <is>
          <t>Argentina</t>
        </is>
      </c>
      <c r="P72" s="13" t="inlineStr">
        <is>
          <t>FINAL</t>
        </is>
      </c>
      <c r="Q72" s="14" t="inlineStr">
        <is>
          <t>1 – 0</t>
        </is>
      </c>
      <c r="R72" s="8" t="inlineStr">
        <is>
          <t>2.62 – 0.50</t>
        </is>
      </c>
    </row>
    <row r="73">
      <c r="A73" s="8" t="inlineStr">
        <is>
          <t>L</t>
        </is>
      </c>
      <c r="B73" s="8" t="inlineStr">
        <is>
          <t>22 jun</t>
        </is>
      </c>
      <c r="C73" s="8" t="inlineStr">
        <is>
          <t>21:00</t>
        </is>
      </c>
      <c r="D73" s="9" t="inlineStr">
        <is>
          <t>Levi's Stadium, San Francisco Bay Area</t>
        </is>
      </c>
      <c r="E73" s="9" t="inlineStr">
        <is>
          <t>Jordania</t>
        </is>
      </c>
      <c r="F73" s="8" t="n">
        <v>63</v>
      </c>
      <c r="G73" s="10" t="inlineStr">
        <is>
          <t>Argelia</t>
        </is>
      </c>
      <c r="H73" s="8" t="n">
        <v>28</v>
      </c>
      <c r="I73" s="8">
        <f>ABS(F73-H73)</f>
        <v/>
      </c>
      <c r="J73" s="11" t="n">
        <v>0.236</v>
      </c>
      <c r="K73" s="11" t="n">
        <v>0.255</v>
      </c>
      <c r="L73" s="11" t="n">
        <v>0.51</v>
      </c>
      <c r="M73" s="8" t="inlineStr">
        <is>
          <t>1 – 2</t>
        </is>
      </c>
      <c r="N73" s="10" t="inlineStr">
        <is>
          <t>Ganó Argelia</t>
        </is>
      </c>
      <c r="O73" s="12" t="inlineStr">
        <is>
          <t>Argelia</t>
        </is>
      </c>
      <c r="P73" s="13" t="inlineStr">
        <is>
          <t>FINAL</t>
        </is>
      </c>
      <c r="Q73" s="14" t="inlineStr">
        <is>
          <t>0 – 1</t>
        </is>
      </c>
      <c r="R73" s="8" t="inlineStr">
        <is>
          <t>0.63 – 1.89</t>
        </is>
      </c>
    </row>
    <row r="74">
      <c r="A74" s="8" t="inlineStr">
        <is>
          <t>L</t>
        </is>
      </c>
      <c r="B74" s="8" t="inlineStr">
        <is>
          <t>27 jun</t>
        </is>
      </c>
      <c r="C74" s="8" t="inlineStr">
        <is>
          <t>20:00</t>
        </is>
      </c>
      <c r="D74" s="9" t="inlineStr">
        <is>
          <t>Arrowhead Stadium, Kansas City</t>
        </is>
      </c>
      <c r="E74" s="9" t="inlineStr">
        <is>
          <t>Argelia</t>
        </is>
      </c>
      <c r="F74" s="8" t="n">
        <v>28</v>
      </c>
      <c r="G74" s="9" t="inlineStr">
        <is>
          <t>Austria</t>
        </is>
      </c>
      <c r="H74" s="8" t="n">
        <v>24</v>
      </c>
      <c r="I74" s="8">
        <f>ABS(F74-H74)</f>
        <v/>
      </c>
      <c r="J74" s="11" t="n">
        <v>0.351</v>
      </c>
      <c r="K74" s="11" t="n">
        <v>0.243</v>
      </c>
      <c r="L74" s="11" t="n">
        <v>0.406</v>
      </c>
      <c r="M74" s="15" t="inlineStr">
        <is>
          <t>3 – 3</t>
        </is>
      </c>
      <c r="N74" s="16" t="inlineStr">
        <is>
          <t>Empate</t>
        </is>
      </c>
      <c r="O74" s="15" t="inlineStr">
        <is>
          <t>Empate</t>
        </is>
      </c>
      <c r="P74" s="13" t="inlineStr">
        <is>
          <t>FINAL</t>
        </is>
      </c>
      <c r="Q74" s="14" t="inlineStr">
        <is>
          <t>1 – 1</t>
        </is>
      </c>
      <c r="R74" s="8" t="inlineStr">
        <is>
          <t>—</t>
        </is>
      </c>
    </row>
    <row r="75">
      <c r="A75" s="8" t="inlineStr">
        <is>
          <t>L</t>
        </is>
      </c>
      <c r="B75" s="8" t="inlineStr">
        <is>
          <t>27 jun</t>
        </is>
      </c>
      <c r="C75" s="8" t="inlineStr">
        <is>
          <t>20:00</t>
        </is>
      </c>
      <c r="D75" s="9" t="inlineStr">
        <is>
          <t>AT&amp;T Stadium, Dallas</t>
        </is>
      </c>
      <c r="E75" s="9" t="inlineStr">
        <is>
          <t>Jordania</t>
        </is>
      </c>
      <c r="F75" s="8" t="n">
        <v>63</v>
      </c>
      <c r="G75" s="10" t="inlineStr">
        <is>
          <t>Argentina</t>
        </is>
      </c>
      <c r="H75" s="8" t="n">
        <v>1</v>
      </c>
      <c r="I75" s="8">
        <f>ABS(F75-H75)</f>
        <v/>
      </c>
      <c r="J75" s="11" t="n">
        <v>0.029</v>
      </c>
      <c r="K75" s="11" t="n">
        <v>0.08699999999999999</v>
      </c>
      <c r="L75" s="11" t="n">
        <v>0.884</v>
      </c>
      <c r="M75" s="8" t="inlineStr">
        <is>
          <t>1 – 3</t>
        </is>
      </c>
      <c r="N75" s="10" t="inlineStr">
        <is>
          <t>Ganó Argentina</t>
        </is>
      </c>
      <c r="O75" s="12" t="inlineStr">
        <is>
          <t>Argentina</t>
        </is>
      </c>
      <c r="P75" s="13" t="inlineStr">
        <is>
          <t>FINAL</t>
        </is>
      </c>
      <c r="Q75" s="14" t="inlineStr">
        <is>
          <t>0 – 2</t>
        </is>
      </c>
      <c r="R75" s="8" t="inlineStr">
        <is>
          <t>—</t>
        </is>
      </c>
    </row>
  </sheetData>
  <autoFilter ref="A3:R75"/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7" customWidth="1" min="3" max="3"/>
    <col width="17" customWidth="1" min="4" max="4"/>
    <col width="13" customWidth="1" min="5" max="5"/>
    <col width="13" customWidth="1" min="6" max="6"/>
    <col width="13" customWidth="1" min="7" max="7"/>
  </cols>
  <sheetData>
    <row r="1">
      <c r="A1" s="6" t="inlineStr">
        <is>
          <t>Probabilidad de avanzar — Montecarlo (20.000 torneos)</t>
        </is>
      </c>
    </row>
    <row r="3">
      <c r="A3" s="7" t="inlineStr">
        <is>
          <t>Grupo</t>
        </is>
      </c>
      <c r="B3" s="7" t="inlineStr">
        <is>
          <t>Selección</t>
        </is>
      </c>
      <c r="C3" s="7" t="inlineStr">
        <is>
          <t>Rank</t>
        </is>
      </c>
      <c r="D3" s="7" t="inlineStr">
        <is>
          <t>Prob. ganar grupo</t>
        </is>
      </c>
      <c r="E3" s="7" t="inlineStr">
        <is>
          <t>Prob. 1º o 2º</t>
        </is>
      </c>
      <c r="F3" s="7" t="inlineStr">
        <is>
          <t>Prob. avanzar</t>
        </is>
      </c>
      <c r="G3" s="7" t="inlineStr">
        <is>
          <t>Prob. avanzar</t>
        </is>
      </c>
    </row>
    <row r="4">
      <c r="A4" s="8" t="inlineStr">
        <is>
          <t>A</t>
        </is>
      </c>
      <c r="B4" s="10" t="inlineStr">
        <is>
          <t>México</t>
        </is>
      </c>
      <c r="C4" s="8" t="n">
        <v>14</v>
      </c>
      <c r="D4" s="11" t="n">
        <v>1</v>
      </c>
      <c r="E4" s="11" t="n">
        <v>1</v>
      </c>
      <c r="F4" s="11" t="n">
        <v>1</v>
      </c>
      <c r="G4" s="17" t="n">
        <v>1</v>
      </c>
    </row>
    <row r="5">
      <c r="A5" s="8" t="inlineStr">
        <is>
          <t>A</t>
        </is>
      </c>
      <c r="B5" s="10" t="inlineStr">
        <is>
          <t>Sudáfrica</t>
        </is>
      </c>
      <c r="C5" s="8" t="n">
        <v>60</v>
      </c>
      <c r="D5" s="11" t="n">
        <v>0</v>
      </c>
      <c r="E5" s="11" t="n">
        <v>1</v>
      </c>
      <c r="F5" s="11" t="n">
        <v>1</v>
      </c>
      <c r="G5" s="17" t="n">
        <v>1</v>
      </c>
    </row>
    <row r="6">
      <c r="A6" s="8" t="inlineStr">
        <is>
          <t>A</t>
        </is>
      </c>
      <c r="B6" s="18" t="inlineStr">
        <is>
          <t>Corea del Sur</t>
        </is>
      </c>
      <c r="C6" s="8" t="n">
        <v>25</v>
      </c>
      <c r="D6" s="11" t="n">
        <v>0</v>
      </c>
      <c r="E6" s="11" t="n">
        <v>0</v>
      </c>
      <c r="F6" s="11" t="n">
        <v>0</v>
      </c>
      <c r="G6" s="19" t="n">
        <v>0</v>
      </c>
    </row>
    <row r="7">
      <c r="A7" s="8" t="inlineStr">
        <is>
          <t>A</t>
        </is>
      </c>
      <c r="B7" s="18" t="inlineStr">
        <is>
          <t>República Checa</t>
        </is>
      </c>
      <c r="C7" s="8" t="n">
        <v>40</v>
      </c>
      <c r="D7" s="11" t="n">
        <v>0</v>
      </c>
      <c r="E7" s="11" t="n">
        <v>0</v>
      </c>
      <c r="F7" s="11" t="n">
        <v>0</v>
      </c>
      <c r="G7" s="19" t="n">
        <v>0</v>
      </c>
    </row>
    <row r="8">
      <c r="A8" s="8" t="inlineStr">
        <is>
          <t>B</t>
        </is>
      </c>
      <c r="B8" s="10" t="inlineStr">
        <is>
          <t>Bosnia y Herzegovina</t>
        </is>
      </c>
      <c r="C8" s="8" t="n">
        <v>64</v>
      </c>
      <c r="D8" s="11" t="n">
        <v>0</v>
      </c>
      <c r="E8" s="11" t="n">
        <v>1</v>
      </c>
      <c r="F8" s="11" t="n">
        <v>1</v>
      </c>
      <c r="G8" s="17" t="n">
        <v>1</v>
      </c>
    </row>
    <row r="9">
      <c r="A9" s="8" t="inlineStr">
        <is>
          <t>B</t>
        </is>
      </c>
      <c r="B9" s="10" t="inlineStr">
        <is>
          <t>Canadá</t>
        </is>
      </c>
      <c r="C9" s="8" t="n">
        <v>30</v>
      </c>
      <c r="D9" s="11" t="n">
        <v>0</v>
      </c>
      <c r="E9" s="11" t="n">
        <v>1</v>
      </c>
      <c r="F9" s="11" t="n">
        <v>1</v>
      </c>
      <c r="G9" s="17" t="n">
        <v>1</v>
      </c>
    </row>
    <row r="10">
      <c r="A10" s="8" t="inlineStr">
        <is>
          <t>B</t>
        </is>
      </c>
      <c r="B10" s="10" t="inlineStr">
        <is>
          <t>Suiza</t>
        </is>
      </c>
      <c r="C10" s="8" t="n">
        <v>19</v>
      </c>
      <c r="D10" s="11" t="n">
        <v>1</v>
      </c>
      <c r="E10" s="11" t="n">
        <v>1</v>
      </c>
      <c r="F10" s="11" t="n">
        <v>1</v>
      </c>
      <c r="G10" s="17" t="n">
        <v>1</v>
      </c>
    </row>
    <row r="11">
      <c r="A11" s="8" t="inlineStr">
        <is>
          <t>B</t>
        </is>
      </c>
      <c r="B11" s="18" t="inlineStr">
        <is>
          <t>Catar</t>
        </is>
      </c>
      <c r="C11" s="8" t="n">
        <v>56</v>
      </c>
      <c r="D11" s="11" t="n">
        <v>0</v>
      </c>
      <c r="E11" s="11" t="n">
        <v>0</v>
      </c>
      <c r="F11" s="11" t="n">
        <v>0</v>
      </c>
      <c r="G11" s="19" t="n">
        <v>0</v>
      </c>
    </row>
    <row r="12">
      <c r="A12" s="8" t="inlineStr">
        <is>
          <t>C</t>
        </is>
      </c>
      <c r="B12" s="10" t="inlineStr">
        <is>
          <t>Australia</t>
        </is>
      </c>
      <c r="C12" s="8" t="n">
        <v>27</v>
      </c>
      <c r="D12" s="11" t="n">
        <v>0</v>
      </c>
      <c r="E12" s="11" t="n">
        <v>1</v>
      </c>
      <c r="F12" s="11" t="n">
        <v>1</v>
      </c>
      <c r="G12" s="17" t="n">
        <v>1</v>
      </c>
    </row>
    <row r="13">
      <c r="A13" s="8" t="inlineStr">
        <is>
          <t>C</t>
        </is>
      </c>
      <c r="B13" s="10" t="inlineStr">
        <is>
          <t>Estados Unidos</t>
        </is>
      </c>
      <c r="C13" s="8" t="n">
        <v>17</v>
      </c>
      <c r="D13" s="11" t="n">
        <v>1</v>
      </c>
      <c r="E13" s="11" t="n">
        <v>1</v>
      </c>
      <c r="F13" s="11" t="n">
        <v>1</v>
      </c>
      <c r="G13" s="17" t="n">
        <v>1</v>
      </c>
    </row>
    <row r="14">
      <c r="A14" s="8" t="inlineStr">
        <is>
          <t>C</t>
        </is>
      </c>
      <c r="B14" s="10" t="inlineStr">
        <is>
          <t>Paraguay</t>
        </is>
      </c>
      <c r="C14" s="8" t="n">
        <v>41</v>
      </c>
      <c r="D14" s="11" t="n">
        <v>0</v>
      </c>
      <c r="E14" s="11" t="n">
        <v>1</v>
      </c>
      <c r="F14" s="11" t="n">
        <v>1</v>
      </c>
      <c r="G14" s="17" t="n">
        <v>1</v>
      </c>
    </row>
    <row r="15">
      <c r="A15" s="8" t="inlineStr">
        <is>
          <t>C</t>
        </is>
      </c>
      <c r="B15" s="18" t="inlineStr">
        <is>
          <t>Turquía</t>
        </is>
      </c>
      <c r="C15" s="8" t="n">
        <v>22</v>
      </c>
      <c r="D15" s="11" t="n">
        <v>0</v>
      </c>
      <c r="E15" s="11" t="n">
        <v>0</v>
      </c>
      <c r="F15" s="11" t="n">
        <v>0</v>
      </c>
      <c r="G15" s="19" t="n">
        <v>0</v>
      </c>
    </row>
    <row r="16">
      <c r="A16" s="8" t="inlineStr">
        <is>
          <t>D</t>
        </is>
      </c>
      <c r="B16" s="10" t="inlineStr">
        <is>
          <t>Brasil</t>
        </is>
      </c>
      <c r="C16" s="8" t="n">
        <v>6</v>
      </c>
      <c r="D16" s="11" t="n">
        <v>1</v>
      </c>
      <c r="E16" s="11" t="n">
        <v>1</v>
      </c>
      <c r="F16" s="11" t="n">
        <v>1</v>
      </c>
      <c r="G16" s="17" t="n">
        <v>1</v>
      </c>
    </row>
    <row r="17">
      <c r="A17" s="8" t="inlineStr">
        <is>
          <t>D</t>
        </is>
      </c>
      <c r="B17" s="10" t="inlineStr">
        <is>
          <t>Marruecos</t>
        </is>
      </c>
      <c r="C17" s="8" t="n">
        <v>7</v>
      </c>
      <c r="D17" s="11" t="n">
        <v>0</v>
      </c>
      <c r="E17" s="11" t="n">
        <v>1</v>
      </c>
      <c r="F17" s="11" t="n">
        <v>1</v>
      </c>
      <c r="G17" s="17" t="n">
        <v>1</v>
      </c>
    </row>
    <row r="18">
      <c r="A18" s="8" t="inlineStr">
        <is>
          <t>D</t>
        </is>
      </c>
      <c r="B18" s="18" t="inlineStr">
        <is>
          <t>Escocia</t>
        </is>
      </c>
      <c r="C18" s="8" t="n">
        <v>42</v>
      </c>
      <c r="D18" s="11" t="n">
        <v>0</v>
      </c>
      <c r="E18" s="11" t="n">
        <v>0</v>
      </c>
      <c r="F18" s="11" t="n">
        <v>0</v>
      </c>
      <c r="G18" s="19" t="n">
        <v>0</v>
      </c>
    </row>
    <row r="19">
      <c r="A19" s="8" t="inlineStr">
        <is>
          <t>D</t>
        </is>
      </c>
      <c r="B19" s="18" t="inlineStr">
        <is>
          <t>Haití</t>
        </is>
      </c>
      <c r="C19" s="8" t="n">
        <v>83</v>
      </c>
      <c r="D19" s="11" t="n">
        <v>0</v>
      </c>
      <c r="E19" s="11" t="n">
        <v>0</v>
      </c>
      <c r="F19" s="11" t="n">
        <v>0</v>
      </c>
      <c r="G19" s="19" t="n">
        <v>0</v>
      </c>
    </row>
    <row r="20">
      <c r="A20" s="8" t="inlineStr">
        <is>
          <t>E</t>
        </is>
      </c>
      <c r="B20" s="10" t="inlineStr">
        <is>
          <t>Alemania</t>
        </is>
      </c>
      <c r="C20" s="8" t="n">
        <v>10</v>
      </c>
      <c r="D20" s="11" t="n">
        <v>1</v>
      </c>
      <c r="E20" s="11" t="n">
        <v>1</v>
      </c>
      <c r="F20" s="11" t="n">
        <v>1</v>
      </c>
      <c r="G20" s="17" t="n">
        <v>1</v>
      </c>
    </row>
    <row r="21">
      <c r="A21" s="8" t="inlineStr">
        <is>
          <t>E</t>
        </is>
      </c>
      <c r="B21" s="10" t="inlineStr">
        <is>
          <t>Costa de Marfil</t>
        </is>
      </c>
      <c r="C21" s="8" t="n">
        <v>33</v>
      </c>
      <c r="D21" s="11" t="n">
        <v>0</v>
      </c>
      <c r="E21" s="11" t="n">
        <v>1</v>
      </c>
      <c r="F21" s="11" t="n">
        <v>1</v>
      </c>
      <c r="G21" s="17" t="n">
        <v>1</v>
      </c>
    </row>
    <row r="22">
      <c r="A22" s="8" t="inlineStr">
        <is>
          <t>E</t>
        </is>
      </c>
      <c r="B22" s="10" t="inlineStr">
        <is>
          <t>Ecuador</t>
        </is>
      </c>
      <c r="C22" s="8" t="n">
        <v>23</v>
      </c>
      <c r="D22" s="11" t="n">
        <v>0</v>
      </c>
      <c r="E22" s="11" t="n">
        <v>1</v>
      </c>
      <c r="F22" s="11" t="n">
        <v>1</v>
      </c>
      <c r="G22" s="17" t="n">
        <v>1</v>
      </c>
    </row>
    <row r="23">
      <c r="A23" s="8" t="inlineStr">
        <is>
          <t>E</t>
        </is>
      </c>
      <c r="B23" s="18" t="inlineStr">
        <is>
          <t>Curazao</t>
        </is>
      </c>
      <c r="C23" s="8" t="n">
        <v>82</v>
      </c>
      <c r="D23" s="11" t="n">
        <v>0</v>
      </c>
      <c r="E23" s="11" t="n">
        <v>0</v>
      </c>
      <c r="F23" s="11" t="n">
        <v>0</v>
      </c>
      <c r="G23" s="19" t="n">
        <v>0</v>
      </c>
    </row>
    <row r="24">
      <c r="A24" s="8" t="inlineStr">
        <is>
          <t>F</t>
        </is>
      </c>
      <c r="B24" s="10" t="inlineStr">
        <is>
          <t>Japón</t>
        </is>
      </c>
      <c r="C24" s="8" t="n">
        <v>18</v>
      </c>
      <c r="D24" s="11" t="n">
        <v>0</v>
      </c>
      <c r="E24" s="11" t="n">
        <v>1</v>
      </c>
      <c r="F24" s="11" t="n">
        <v>1</v>
      </c>
      <c r="G24" s="17" t="n">
        <v>1</v>
      </c>
    </row>
    <row r="25">
      <c r="A25" s="8" t="inlineStr">
        <is>
          <t>F</t>
        </is>
      </c>
      <c r="B25" s="10" t="inlineStr">
        <is>
          <t>Países Bajos</t>
        </is>
      </c>
      <c r="C25" s="8" t="n">
        <v>8</v>
      </c>
      <c r="D25" s="11" t="n">
        <v>1</v>
      </c>
      <c r="E25" s="11" t="n">
        <v>1</v>
      </c>
      <c r="F25" s="11" t="n">
        <v>1</v>
      </c>
      <c r="G25" s="17" t="n">
        <v>1</v>
      </c>
    </row>
    <row r="26">
      <c r="A26" s="8" t="inlineStr">
        <is>
          <t>F</t>
        </is>
      </c>
      <c r="B26" s="10" t="inlineStr">
        <is>
          <t>Suecia</t>
        </is>
      </c>
      <c r="C26" s="8" t="n">
        <v>38</v>
      </c>
      <c r="D26" s="11" t="n">
        <v>0</v>
      </c>
      <c r="E26" s="11" t="n">
        <v>1</v>
      </c>
      <c r="F26" s="11" t="n">
        <v>1</v>
      </c>
      <c r="G26" s="17" t="n">
        <v>1</v>
      </c>
    </row>
    <row r="27">
      <c r="A27" s="8" t="inlineStr">
        <is>
          <t>F</t>
        </is>
      </c>
      <c r="B27" s="18" t="inlineStr">
        <is>
          <t>Túnez</t>
        </is>
      </c>
      <c r="C27" s="8" t="n">
        <v>45</v>
      </c>
      <c r="D27" s="11" t="n">
        <v>0</v>
      </c>
      <c r="E27" s="11" t="n">
        <v>0</v>
      </c>
      <c r="F27" s="11" t="n">
        <v>0</v>
      </c>
      <c r="G27" s="19" t="n">
        <v>0</v>
      </c>
    </row>
    <row r="28">
      <c r="A28" s="8" t="inlineStr">
        <is>
          <t>G</t>
        </is>
      </c>
      <c r="B28" s="10" t="inlineStr">
        <is>
          <t>Cabo Verde</t>
        </is>
      </c>
      <c r="C28" s="8" t="n">
        <v>67</v>
      </c>
      <c r="D28" s="11" t="n">
        <v>0</v>
      </c>
      <c r="E28" s="11" t="n">
        <v>1</v>
      </c>
      <c r="F28" s="11" t="n">
        <v>1</v>
      </c>
      <c r="G28" s="17" t="n">
        <v>1</v>
      </c>
    </row>
    <row r="29">
      <c r="A29" s="8" t="inlineStr">
        <is>
          <t>G</t>
        </is>
      </c>
      <c r="B29" s="10" t="inlineStr">
        <is>
          <t>España</t>
        </is>
      </c>
      <c r="C29" s="8" t="n">
        <v>2</v>
      </c>
      <c r="D29" s="11" t="n">
        <v>1</v>
      </c>
      <c r="E29" s="11" t="n">
        <v>1</v>
      </c>
      <c r="F29" s="11" t="n">
        <v>1</v>
      </c>
      <c r="G29" s="17" t="n">
        <v>1</v>
      </c>
    </row>
    <row r="30">
      <c r="A30" s="8" t="inlineStr">
        <is>
          <t>G</t>
        </is>
      </c>
      <c r="B30" s="18" t="inlineStr">
        <is>
          <t>Arabia Saudita</t>
        </is>
      </c>
      <c r="C30" s="8" t="n">
        <v>61</v>
      </c>
      <c r="D30" s="11" t="n">
        <v>0</v>
      </c>
      <c r="E30" s="11" t="n">
        <v>0</v>
      </c>
      <c r="F30" s="11" t="n">
        <v>0</v>
      </c>
      <c r="G30" s="19" t="n">
        <v>0</v>
      </c>
    </row>
    <row r="31">
      <c r="A31" s="8" t="inlineStr">
        <is>
          <t>G</t>
        </is>
      </c>
      <c r="B31" s="18" t="inlineStr">
        <is>
          <t>Uruguay</t>
        </is>
      </c>
      <c r="C31" s="8" t="n">
        <v>16</v>
      </c>
      <c r="D31" s="11" t="n">
        <v>0</v>
      </c>
      <c r="E31" s="11" t="n">
        <v>0</v>
      </c>
      <c r="F31" s="11" t="n">
        <v>0</v>
      </c>
      <c r="G31" s="19" t="n">
        <v>0</v>
      </c>
    </row>
    <row r="32">
      <c r="A32" s="8" t="inlineStr">
        <is>
          <t>H</t>
        </is>
      </c>
      <c r="B32" s="10" t="inlineStr">
        <is>
          <t>Bélgica</t>
        </is>
      </c>
      <c r="C32" s="8" t="n">
        <v>9</v>
      </c>
      <c r="D32" s="11" t="n">
        <v>1</v>
      </c>
      <c r="E32" s="11" t="n">
        <v>1</v>
      </c>
      <c r="F32" s="11" t="n">
        <v>1</v>
      </c>
      <c r="G32" s="17" t="n">
        <v>1</v>
      </c>
    </row>
    <row r="33">
      <c r="A33" s="8" t="inlineStr">
        <is>
          <t>H</t>
        </is>
      </c>
      <c r="B33" s="10" t="inlineStr">
        <is>
          <t>Egipto</t>
        </is>
      </c>
      <c r="C33" s="8" t="n">
        <v>29</v>
      </c>
      <c r="D33" s="11" t="n">
        <v>0</v>
      </c>
      <c r="E33" s="11" t="n">
        <v>1</v>
      </c>
      <c r="F33" s="11" t="n">
        <v>1</v>
      </c>
      <c r="G33" s="17" t="n">
        <v>1</v>
      </c>
    </row>
    <row r="34">
      <c r="A34" s="8" t="inlineStr">
        <is>
          <t>H</t>
        </is>
      </c>
      <c r="B34" s="18" t="inlineStr">
        <is>
          <t>Irán</t>
        </is>
      </c>
      <c r="C34" s="8" t="n">
        <v>20</v>
      </c>
      <c r="D34" s="11" t="n">
        <v>0</v>
      </c>
      <c r="E34" s="11" t="n">
        <v>0</v>
      </c>
      <c r="F34" s="11" t="n">
        <v>0</v>
      </c>
      <c r="G34" s="19" t="n">
        <v>0</v>
      </c>
    </row>
    <row r="35">
      <c r="A35" s="8" t="inlineStr">
        <is>
          <t>H</t>
        </is>
      </c>
      <c r="B35" s="18" t="inlineStr">
        <is>
          <t>Nueva Zelanda</t>
        </is>
      </c>
      <c r="C35" s="8" t="n">
        <v>85</v>
      </c>
      <c r="D35" s="11" t="n">
        <v>0</v>
      </c>
      <c r="E35" s="11" t="n">
        <v>0</v>
      </c>
      <c r="F35" s="11" t="n">
        <v>0</v>
      </c>
      <c r="G35" s="19" t="n">
        <v>0</v>
      </c>
    </row>
    <row r="36">
      <c r="A36" s="8" t="inlineStr">
        <is>
          <t>I</t>
        </is>
      </c>
      <c r="B36" s="10" t="inlineStr">
        <is>
          <t>Francia</t>
        </is>
      </c>
      <c r="C36" s="8" t="n">
        <v>3</v>
      </c>
      <c r="D36" s="11" t="n">
        <v>1</v>
      </c>
      <c r="E36" s="11" t="n">
        <v>1</v>
      </c>
      <c r="F36" s="11" t="n">
        <v>1</v>
      </c>
      <c r="G36" s="17" t="n">
        <v>1</v>
      </c>
    </row>
    <row r="37">
      <c r="A37" s="8" t="inlineStr">
        <is>
          <t>I</t>
        </is>
      </c>
      <c r="B37" s="10" t="inlineStr">
        <is>
          <t>Noruega</t>
        </is>
      </c>
      <c r="C37" s="8" t="n">
        <v>31</v>
      </c>
      <c r="D37" s="11" t="n">
        <v>0</v>
      </c>
      <c r="E37" s="11" t="n">
        <v>1</v>
      </c>
      <c r="F37" s="11" t="n">
        <v>1</v>
      </c>
      <c r="G37" s="17" t="n">
        <v>1</v>
      </c>
    </row>
    <row r="38">
      <c r="A38" s="8" t="inlineStr">
        <is>
          <t>I</t>
        </is>
      </c>
      <c r="B38" s="10" t="inlineStr">
        <is>
          <t>Senegal</t>
        </is>
      </c>
      <c r="C38" s="8" t="n">
        <v>15</v>
      </c>
      <c r="D38" s="11" t="n">
        <v>0</v>
      </c>
      <c r="E38" s="11" t="n">
        <v>1</v>
      </c>
      <c r="F38" s="11" t="n">
        <v>1</v>
      </c>
      <c r="G38" s="17" t="n">
        <v>1</v>
      </c>
    </row>
    <row r="39">
      <c r="A39" s="8" t="inlineStr">
        <is>
          <t>I</t>
        </is>
      </c>
      <c r="B39" s="18" t="inlineStr">
        <is>
          <t>Irak</t>
        </is>
      </c>
      <c r="C39" s="8" t="n">
        <v>57</v>
      </c>
      <c r="D39" s="11" t="n">
        <v>0</v>
      </c>
      <c r="E39" s="11" t="n">
        <v>0</v>
      </c>
      <c r="F39" s="11" t="n">
        <v>0</v>
      </c>
      <c r="G39" s="19" t="n">
        <v>0</v>
      </c>
    </row>
    <row r="40">
      <c r="A40" s="8" t="inlineStr">
        <is>
          <t>J</t>
        </is>
      </c>
      <c r="B40" s="10" t="inlineStr">
        <is>
          <t>Croacia</t>
        </is>
      </c>
      <c r="C40" s="8" t="n">
        <v>11</v>
      </c>
      <c r="D40" s="11" t="n">
        <v>0</v>
      </c>
      <c r="E40" s="11" t="n">
        <v>1</v>
      </c>
      <c r="F40" s="11" t="n">
        <v>1</v>
      </c>
      <c r="G40" s="17" t="n">
        <v>1</v>
      </c>
    </row>
    <row r="41">
      <c r="A41" s="8" t="inlineStr">
        <is>
          <t>J</t>
        </is>
      </c>
      <c r="B41" s="10" t="inlineStr">
        <is>
          <t>Ghana</t>
        </is>
      </c>
      <c r="C41" s="8" t="n">
        <v>73</v>
      </c>
      <c r="D41" s="11" t="n">
        <v>0</v>
      </c>
      <c r="E41" s="11" t="n">
        <v>1</v>
      </c>
      <c r="F41" s="11" t="n">
        <v>1</v>
      </c>
      <c r="G41" s="17" t="n">
        <v>1</v>
      </c>
    </row>
    <row r="42">
      <c r="A42" s="8" t="inlineStr">
        <is>
          <t>J</t>
        </is>
      </c>
      <c r="B42" s="10" t="inlineStr">
        <is>
          <t>Inglaterra</t>
        </is>
      </c>
      <c r="C42" s="8" t="n">
        <v>4</v>
      </c>
      <c r="D42" s="11" t="n">
        <v>1</v>
      </c>
      <c r="E42" s="11" t="n">
        <v>1</v>
      </c>
      <c r="F42" s="11" t="n">
        <v>1</v>
      </c>
      <c r="G42" s="17" t="n">
        <v>1</v>
      </c>
    </row>
    <row r="43">
      <c r="A43" s="8" t="inlineStr">
        <is>
          <t>J</t>
        </is>
      </c>
      <c r="B43" s="18" t="inlineStr">
        <is>
          <t>Panamá</t>
        </is>
      </c>
      <c r="C43" s="8" t="n">
        <v>34</v>
      </c>
      <c r="D43" s="11" t="n">
        <v>0</v>
      </c>
      <c r="E43" s="11" t="n">
        <v>0</v>
      </c>
      <c r="F43" s="11" t="n">
        <v>0</v>
      </c>
      <c r="G43" s="19" t="n">
        <v>0</v>
      </c>
    </row>
    <row r="44">
      <c r="A44" s="8" t="inlineStr">
        <is>
          <t>K</t>
        </is>
      </c>
      <c r="B44" s="10" t="inlineStr">
        <is>
          <t>Colombia</t>
        </is>
      </c>
      <c r="C44" s="8" t="n">
        <v>13</v>
      </c>
      <c r="D44" s="11" t="n">
        <v>1</v>
      </c>
      <c r="E44" s="11" t="n">
        <v>1</v>
      </c>
      <c r="F44" s="11" t="n">
        <v>1</v>
      </c>
      <c r="G44" s="17" t="n">
        <v>1</v>
      </c>
    </row>
    <row r="45">
      <c r="A45" s="8" t="inlineStr">
        <is>
          <t>K</t>
        </is>
      </c>
      <c r="B45" s="10" t="inlineStr">
        <is>
          <t>Portugal</t>
        </is>
      </c>
      <c r="C45" s="8" t="n">
        <v>5</v>
      </c>
      <c r="D45" s="11" t="n">
        <v>0</v>
      </c>
      <c r="E45" s="11" t="n">
        <v>1</v>
      </c>
      <c r="F45" s="11" t="n">
        <v>1</v>
      </c>
      <c r="G45" s="17" t="n">
        <v>1</v>
      </c>
    </row>
    <row r="46">
      <c r="A46" s="8" t="inlineStr">
        <is>
          <t>K</t>
        </is>
      </c>
      <c r="B46" s="10" t="inlineStr">
        <is>
          <t>RD Congo</t>
        </is>
      </c>
      <c r="C46" s="8" t="n">
        <v>46</v>
      </c>
      <c r="D46" s="11" t="n">
        <v>0</v>
      </c>
      <c r="E46" s="11" t="n">
        <v>1</v>
      </c>
      <c r="F46" s="11" t="n">
        <v>1</v>
      </c>
      <c r="G46" s="17" t="n">
        <v>1</v>
      </c>
    </row>
    <row r="47">
      <c r="A47" s="8" t="inlineStr">
        <is>
          <t>K</t>
        </is>
      </c>
      <c r="B47" s="18" t="inlineStr">
        <is>
          <t>Uzbekistán</t>
        </is>
      </c>
      <c r="C47" s="8" t="n">
        <v>50</v>
      </c>
      <c r="D47" s="11" t="n">
        <v>0</v>
      </c>
      <c r="E47" s="11" t="n">
        <v>0</v>
      </c>
      <c r="F47" s="11" t="n">
        <v>0</v>
      </c>
      <c r="G47" s="19" t="n">
        <v>0</v>
      </c>
    </row>
    <row r="48">
      <c r="A48" s="8" t="inlineStr">
        <is>
          <t>L</t>
        </is>
      </c>
      <c r="B48" s="10" t="inlineStr">
        <is>
          <t>Argelia</t>
        </is>
      </c>
      <c r="C48" s="8" t="n">
        <v>28</v>
      </c>
      <c r="D48" s="11" t="n">
        <v>0</v>
      </c>
      <c r="E48" s="11" t="n">
        <v>1</v>
      </c>
      <c r="F48" s="11" t="n">
        <v>1</v>
      </c>
      <c r="G48" s="17" t="n">
        <v>1</v>
      </c>
    </row>
    <row r="49">
      <c r="A49" s="8" t="inlineStr">
        <is>
          <t>L</t>
        </is>
      </c>
      <c r="B49" s="10" t="inlineStr">
        <is>
          <t>Argentina</t>
        </is>
      </c>
      <c r="C49" s="8" t="n">
        <v>1</v>
      </c>
      <c r="D49" s="11" t="n">
        <v>1</v>
      </c>
      <c r="E49" s="11" t="n">
        <v>1</v>
      </c>
      <c r="F49" s="11" t="n">
        <v>1</v>
      </c>
      <c r="G49" s="17" t="n">
        <v>1</v>
      </c>
    </row>
    <row r="50">
      <c r="A50" s="8" t="inlineStr">
        <is>
          <t>L</t>
        </is>
      </c>
      <c r="B50" s="10" t="inlineStr">
        <is>
          <t>Austria</t>
        </is>
      </c>
      <c r="C50" s="8" t="n">
        <v>24</v>
      </c>
      <c r="D50" s="11" t="n">
        <v>0</v>
      </c>
      <c r="E50" s="11" t="n">
        <v>1</v>
      </c>
      <c r="F50" s="11" t="n">
        <v>1</v>
      </c>
      <c r="G50" s="17" t="n">
        <v>1</v>
      </c>
    </row>
    <row r="51">
      <c r="A51" s="8" t="inlineStr">
        <is>
          <t>L</t>
        </is>
      </c>
      <c r="B51" s="18" t="inlineStr">
        <is>
          <t>Jordania</t>
        </is>
      </c>
      <c r="C51" s="8" t="n">
        <v>63</v>
      </c>
      <c r="D51" s="11" t="n">
        <v>0</v>
      </c>
      <c r="E51" s="11" t="n">
        <v>0</v>
      </c>
      <c r="F51" s="11" t="n">
        <v>0</v>
      </c>
      <c r="G51" s="19" t="n">
        <v>0</v>
      </c>
    </row>
  </sheetData>
  <autoFilter ref="A3:G51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Probabilidad de avanzar por grupo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30" customWidth="1" min="3" max="3"/>
    <col width="30" customWidth="1" min="4" max="4"/>
    <col width="26" customWidth="1" min="5" max="5"/>
  </cols>
  <sheetData>
    <row r="1">
      <c r="A1" s="6" t="inlineStr">
        <is>
          <t>Dieciseisavos (Round of 32) — clasificados más probables</t>
        </is>
      </c>
    </row>
    <row r="3">
      <c r="A3" s="7" t="inlineStr">
        <is>
          <t>Partido</t>
        </is>
      </c>
      <c r="B3" s="7" t="inlineStr">
        <is>
          <t>Fecha</t>
        </is>
      </c>
      <c r="C3" s="7" t="inlineStr">
        <is>
          <t>Equipo 1 (proyectado)</t>
        </is>
      </c>
      <c r="D3" s="7" t="inlineStr">
        <is>
          <t>Equipo 2 (proyectado)</t>
        </is>
      </c>
      <c r="E3" s="7" t="inlineStr">
        <is>
          <t>Sede</t>
        </is>
      </c>
    </row>
    <row r="4">
      <c r="A4" s="8" t="inlineStr">
        <is>
          <t>M73</t>
        </is>
      </c>
      <c r="B4" s="8" t="inlineStr">
        <is>
          <t>28 jun</t>
        </is>
      </c>
      <c r="C4" s="20" t="inlineStr">
        <is>
          <t>Sudáfrica (2.º grupo)</t>
        </is>
      </c>
      <c r="D4" s="20" t="inlineStr">
        <is>
          <t>Canadá (2.º grupo)</t>
        </is>
      </c>
      <c r="E4" s="9" t="inlineStr">
        <is>
          <t>SoFi, Los Ángeles</t>
        </is>
      </c>
    </row>
    <row r="5">
      <c r="A5" s="8" t="inlineStr">
        <is>
          <t>M74</t>
        </is>
      </c>
      <c r="B5" s="8" t="inlineStr">
        <is>
          <t>29 jun</t>
        </is>
      </c>
      <c r="C5" s="20" t="inlineStr">
        <is>
          <t>Países Bajos (1.º grupo)</t>
        </is>
      </c>
      <c r="D5" s="20" t="inlineStr">
        <is>
          <t>Marruecos (2.º grupo)</t>
        </is>
      </c>
      <c r="E5" s="9" t="inlineStr">
        <is>
          <t>Estadio BBVA, Monterrey</t>
        </is>
      </c>
    </row>
    <row r="6">
      <c r="A6" s="8" t="inlineStr">
        <is>
          <t>M75</t>
        </is>
      </c>
      <c r="B6" s="8" t="inlineStr">
        <is>
          <t>29 jun</t>
        </is>
      </c>
      <c r="C6" s="20" t="inlineStr">
        <is>
          <t>Alemania (1.º grupo)</t>
        </is>
      </c>
      <c r="D6" s="20" t="inlineStr">
        <is>
          <t>Paraguay (3.º)</t>
        </is>
      </c>
      <c r="E6" s="9" t="inlineStr">
        <is>
          <t>Gillette, Boston</t>
        </is>
      </c>
    </row>
    <row r="7">
      <c r="A7" s="8" t="inlineStr">
        <is>
          <t>M76</t>
        </is>
      </c>
      <c r="B7" s="8" t="inlineStr">
        <is>
          <t>30 jun</t>
        </is>
      </c>
      <c r="C7" s="20" t="inlineStr">
        <is>
          <t>Francia (1.º grupo)</t>
        </is>
      </c>
      <c r="D7" s="20" t="inlineStr">
        <is>
          <t>Suecia (3.º)</t>
        </is>
      </c>
      <c r="E7" s="9" t="inlineStr">
        <is>
          <t>MetLife, NY/NJ</t>
        </is>
      </c>
    </row>
    <row r="8">
      <c r="A8" s="8" t="inlineStr">
        <is>
          <t>M77</t>
        </is>
      </c>
      <c r="B8" s="8" t="inlineStr">
        <is>
          <t>30 jun</t>
        </is>
      </c>
      <c r="C8" s="20" t="inlineStr">
        <is>
          <t>Costa de Marfil (2.º grupo)</t>
        </is>
      </c>
      <c r="D8" s="20" t="inlineStr">
        <is>
          <t>Noruega (2.º grupo)</t>
        </is>
      </c>
      <c r="E8" s="9" t="inlineStr">
        <is>
          <t>AT&amp;T, Dallas</t>
        </is>
      </c>
    </row>
    <row r="9">
      <c r="A9" s="8" t="inlineStr">
        <is>
          <t>M78</t>
        </is>
      </c>
      <c r="B9" s="8" t="inlineStr">
        <is>
          <t>29 jun</t>
        </is>
      </c>
      <c r="C9" s="20" t="inlineStr">
        <is>
          <t>Brasil (1.º grupo)</t>
        </is>
      </c>
      <c r="D9" s="20" t="inlineStr">
        <is>
          <t>Japón (2.º grupo)</t>
        </is>
      </c>
      <c r="E9" s="9" t="inlineStr">
        <is>
          <t>NRG, Houston</t>
        </is>
      </c>
    </row>
    <row r="10">
      <c r="A10" s="8" t="inlineStr">
        <is>
          <t>M79</t>
        </is>
      </c>
      <c r="B10" s="8" t="inlineStr">
        <is>
          <t>1 jul</t>
        </is>
      </c>
      <c r="C10" s="20" t="inlineStr">
        <is>
          <t>Inglaterra (1.º grupo)</t>
        </is>
      </c>
      <c r="D10" s="20" t="inlineStr">
        <is>
          <t>RD Congo (3.º)</t>
        </is>
      </c>
      <c r="E10" s="9" t="inlineStr">
        <is>
          <t>Mercedes-Benz, Atlanta</t>
        </is>
      </c>
    </row>
    <row r="11">
      <c r="A11" s="8" t="inlineStr">
        <is>
          <t>M80</t>
        </is>
      </c>
      <c r="B11" s="8" t="inlineStr">
        <is>
          <t>1 jul</t>
        </is>
      </c>
      <c r="C11" s="20" t="inlineStr">
        <is>
          <t>México (1.º grupo)</t>
        </is>
      </c>
      <c r="D11" s="20" t="inlineStr">
        <is>
          <t>Ecuador (3.º)</t>
        </is>
      </c>
      <c r="E11" s="9" t="inlineStr">
        <is>
          <t>Estadio Azteca, CDMX</t>
        </is>
      </c>
    </row>
    <row r="12">
      <c r="A12" s="8" t="inlineStr">
        <is>
          <t>M81</t>
        </is>
      </c>
      <c r="B12" s="8" t="inlineStr">
        <is>
          <t>1 jul</t>
        </is>
      </c>
      <c r="C12" s="20" t="inlineStr">
        <is>
          <t>Estados Unidos (1.º grupo)</t>
        </is>
      </c>
      <c r="D12" s="20" t="inlineStr">
        <is>
          <t>Bosnia y Herzegovina (3.º)</t>
        </is>
      </c>
      <c r="E12" s="9" t="inlineStr">
        <is>
          <t>Bay Area, San Francisco</t>
        </is>
      </c>
    </row>
    <row r="13">
      <c r="A13" s="8" t="inlineStr">
        <is>
          <t>M82</t>
        </is>
      </c>
      <c r="B13" s="8" t="inlineStr">
        <is>
          <t>1 jul</t>
        </is>
      </c>
      <c r="C13" s="20" t="inlineStr">
        <is>
          <t>Bélgica (1.º grupo)</t>
        </is>
      </c>
      <c r="D13" s="20" t="inlineStr">
        <is>
          <t>Senegal (3.º)</t>
        </is>
      </c>
      <c r="E13" s="9" t="inlineStr">
        <is>
          <t>Lumen Field, Seattle</t>
        </is>
      </c>
    </row>
    <row r="14">
      <c r="A14" s="8" t="inlineStr">
        <is>
          <t>M83</t>
        </is>
      </c>
      <c r="B14" s="8" t="inlineStr">
        <is>
          <t>2 jul</t>
        </is>
      </c>
      <c r="C14" s="20" t="inlineStr">
        <is>
          <t>España (1.º grupo)</t>
        </is>
      </c>
      <c r="D14" s="20" t="inlineStr">
        <is>
          <t>Austria (2.º grupo)</t>
        </is>
      </c>
      <c r="E14" s="9" t="inlineStr">
        <is>
          <t>SoFi, Los Ángeles</t>
        </is>
      </c>
    </row>
    <row r="15">
      <c r="A15" s="8" t="inlineStr">
        <is>
          <t>M84</t>
        </is>
      </c>
      <c r="B15" s="8" t="inlineStr">
        <is>
          <t>2 jul</t>
        </is>
      </c>
      <c r="C15" s="20" t="inlineStr">
        <is>
          <t>Portugal (2.º grupo)</t>
        </is>
      </c>
      <c r="D15" s="20" t="inlineStr">
        <is>
          <t>Croacia (2.º grupo)</t>
        </is>
      </c>
      <c r="E15" s="9" t="inlineStr">
        <is>
          <t>BMO Field, Toronto</t>
        </is>
      </c>
    </row>
    <row r="16">
      <c r="A16" s="8" t="inlineStr">
        <is>
          <t>M85</t>
        </is>
      </c>
      <c r="B16" s="8" t="inlineStr">
        <is>
          <t>2 jul</t>
        </is>
      </c>
      <c r="C16" s="20" t="inlineStr">
        <is>
          <t>Suiza (1.º grupo)</t>
        </is>
      </c>
      <c r="D16" s="20" t="inlineStr">
        <is>
          <t>Argelia (3.º)</t>
        </is>
      </c>
      <c r="E16" s="9" t="inlineStr">
        <is>
          <t>BC Place, Vancouver</t>
        </is>
      </c>
    </row>
    <row r="17">
      <c r="A17" s="8" t="inlineStr">
        <is>
          <t>M86</t>
        </is>
      </c>
      <c r="B17" s="8" t="inlineStr">
        <is>
          <t>3 jul</t>
        </is>
      </c>
      <c r="C17" s="20" t="inlineStr">
        <is>
          <t>Colombia (1.º grupo)</t>
        </is>
      </c>
      <c r="D17" s="20" t="inlineStr">
        <is>
          <t>Ghana (3.º)</t>
        </is>
      </c>
      <c r="E17" s="9" t="inlineStr">
        <is>
          <t>Arrowhead, Kansas City</t>
        </is>
      </c>
    </row>
    <row r="18">
      <c r="A18" s="8" t="inlineStr">
        <is>
          <t>M87</t>
        </is>
      </c>
      <c r="B18" s="8" t="inlineStr">
        <is>
          <t>3 jul</t>
        </is>
      </c>
      <c r="C18" s="20" t="inlineStr">
        <is>
          <t>Australia (2.º grupo)</t>
        </is>
      </c>
      <c r="D18" s="20" t="inlineStr">
        <is>
          <t>Egipto (2.º grupo)</t>
        </is>
      </c>
      <c r="E18" s="9" t="inlineStr">
        <is>
          <t>AT&amp;T, Dallas</t>
        </is>
      </c>
    </row>
    <row r="19">
      <c r="A19" s="8" t="inlineStr">
        <is>
          <t>M88</t>
        </is>
      </c>
      <c r="B19" s="8" t="inlineStr">
        <is>
          <t>3 jul</t>
        </is>
      </c>
      <c r="C19" s="20" t="inlineStr">
        <is>
          <t>Argentina (1.º grupo)</t>
        </is>
      </c>
      <c r="D19" s="20" t="inlineStr">
        <is>
          <t>Cabo Verde (2.º grupo)</t>
        </is>
      </c>
      <c r="E19" s="9" t="inlineStr">
        <is>
          <t>Hard Rock, Miami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11" customWidth="1" min="4" max="4"/>
    <col width="10" customWidth="1" min="5" max="5"/>
    <col width="10" customWidth="1" min="6" max="6"/>
    <col width="11" customWidth="1" min="7" max="7"/>
    <col width="9" customWidth="1" min="8" max="8"/>
    <col width="10" customWidth="1" min="9" max="9"/>
  </cols>
  <sheetData>
    <row r="1">
      <c r="A1" s="6" t="inlineStr">
        <is>
          <t>Probabilidades en eliminatorias — Montecarlo</t>
        </is>
      </c>
    </row>
    <row r="3">
      <c r="A3" s="7" t="inlineStr">
        <is>
          <t>Selección</t>
        </is>
      </c>
      <c r="B3" s="7" t="inlineStr">
        <is>
          <t>Grupo</t>
        </is>
      </c>
      <c r="C3" s="7" t="inlineStr">
        <is>
          <t>Rank</t>
        </is>
      </c>
      <c r="D3" s="7" t="inlineStr">
        <is>
          <t>Clasifica</t>
        </is>
      </c>
      <c r="E3" s="7" t="inlineStr">
        <is>
          <t>Octavos</t>
        </is>
      </c>
      <c r="F3" s="7" t="inlineStr">
        <is>
          <t>Cuartos</t>
        </is>
      </c>
      <c r="G3" s="7" t="inlineStr">
        <is>
          <t>Semifinal</t>
        </is>
      </c>
      <c r="H3" s="7" t="inlineStr">
        <is>
          <t>Final</t>
        </is>
      </c>
      <c r="I3" s="7" t="inlineStr">
        <is>
          <t>Campeón</t>
        </is>
      </c>
    </row>
    <row r="4">
      <c r="A4" s="21" t="inlineStr">
        <is>
          <t>Francia</t>
        </is>
      </c>
      <c r="B4" s="8" t="inlineStr">
        <is>
          <t>I</t>
        </is>
      </c>
      <c r="C4" s="8" t="n">
        <v>3</v>
      </c>
      <c r="D4" s="11" t="n">
        <v>1</v>
      </c>
      <c r="E4" s="11" t="n">
        <v>1</v>
      </c>
      <c r="F4" s="11" t="n">
        <v>1</v>
      </c>
      <c r="G4" s="11" t="n">
        <v>1</v>
      </c>
      <c r="H4" s="11" t="n">
        <v>0.516</v>
      </c>
      <c r="I4" s="17" t="n">
        <v>0.323</v>
      </c>
    </row>
    <row r="5">
      <c r="A5" s="21" t="inlineStr">
        <is>
          <t>España</t>
        </is>
      </c>
      <c r="B5" s="8" t="inlineStr">
        <is>
          <t>G</t>
        </is>
      </c>
      <c r="C5" s="8" t="n">
        <v>2</v>
      </c>
      <c r="D5" s="11" t="n">
        <v>1</v>
      </c>
      <c r="E5" s="11" t="n">
        <v>1</v>
      </c>
      <c r="F5" s="11" t="n">
        <v>1</v>
      </c>
      <c r="G5" s="11" t="n">
        <v>1</v>
      </c>
      <c r="H5" s="11" t="n">
        <v>0.484</v>
      </c>
      <c r="I5" s="17" t="n">
        <v>0.293</v>
      </c>
    </row>
    <row r="6">
      <c r="A6" s="21" t="inlineStr">
        <is>
          <t>Argentina</t>
        </is>
      </c>
      <c r="B6" s="8" t="inlineStr">
        <is>
          <t>L</t>
        </is>
      </c>
      <c r="C6" s="8" t="n">
        <v>1</v>
      </c>
      <c r="D6" s="11" t="n">
        <v>1</v>
      </c>
      <c r="E6" s="11" t="n">
        <v>1</v>
      </c>
      <c r="F6" s="11" t="n">
        <v>1</v>
      </c>
      <c r="G6" s="11" t="n">
        <v>1</v>
      </c>
      <c r="H6" s="11" t="n">
        <v>0.611</v>
      </c>
      <c r="I6" s="17" t="n">
        <v>0.263</v>
      </c>
    </row>
    <row r="7">
      <c r="A7" s="22" t="inlineStr">
        <is>
          <t>Inglaterra</t>
        </is>
      </c>
      <c r="B7" s="8" t="inlineStr">
        <is>
          <t>J</t>
        </is>
      </c>
      <c r="C7" s="8" t="n">
        <v>4</v>
      </c>
      <c r="D7" s="11" t="n">
        <v>1</v>
      </c>
      <c r="E7" s="11" t="n">
        <v>1</v>
      </c>
      <c r="F7" s="11" t="n">
        <v>1</v>
      </c>
      <c r="G7" s="11" t="n">
        <v>1</v>
      </c>
      <c r="H7" s="11" t="n">
        <v>0.389</v>
      </c>
      <c r="I7" s="23" t="n">
        <v>0.121</v>
      </c>
    </row>
    <row r="8">
      <c r="A8" s="9" t="inlineStr">
        <is>
          <t>México</t>
        </is>
      </c>
      <c r="B8" s="8" t="inlineStr">
        <is>
          <t>A</t>
        </is>
      </c>
      <c r="C8" s="8" t="n">
        <v>14</v>
      </c>
      <c r="D8" s="11" t="n">
        <v>1</v>
      </c>
      <c r="E8" s="11" t="n">
        <v>1</v>
      </c>
      <c r="F8" s="11" t="n">
        <v>0</v>
      </c>
      <c r="G8" s="11" t="n">
        <v>0</v>
      </c>
      <c r="H8" s="11" t="n">
        <v>0</v>
      </c>
      <c r="I8" s="24" t="n">
        <v>0</v>
      </c>
    </row>
    <row r="9">
      <c r="A9" s="9" t="inlineStr">
        <is>
          <t>Sudáfrica</t>
        </is>
      </c>
      <c r="B9" s="8" t="inlineStr">
        <is>
          <t>A</t>
        </is>
      </c>
      <c r="C9" s="8" t="n">
        <v>60</v>
      </c>
      <c r="D9" s="11" t="n">
        <v>1</v>
      </c>
      <c r="E9" s="11" t="n">
        <v>0</v>
      </c>
      <c r="F9" s="11" t="n">
        <v>0</v>
      </c>
      <c r="G9" s="11" t="n">
        <v>0</v>
      </c>
      <c r="H9" s="11" t="n">
        <v>0</v>
      </c>
      <c r="I9" s="24" t="n">
        <v>0</v>
      </c>
    </row>
    <row r="10">
      <c r="A10" s="9" t="inlineStr">
        <is>
          <t>Corea del Sur</t>
        </is>
      </c>
      <c r="B10" s="8" t="inlineStr">
        <is>
          <t>A</t>
        </is>
      </c>
      <c r="C10" s="8" t="n">
        <v>25</v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</v>
      </c>
      <c r="I10" s="24" t="n">
        <v>0</v>
      </c>
    </row>
    <row r="11">
      <c r="A11" s="9" t="inlineStr">
        <is>
          <t>República Checa</t>
        </is>
      </c>
      <c r="B11" s="8" t="inlineStr">
        <is>
          <t>A</t>
        </is>
      </c>
      <c r="C11" s="8" t="n">
        <v>40</v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24" t="n">
        <v>0</v>
      </c>
    </row>
    <row r="12">
      <c r="A12" s="9" t="inlineStr">
        <is>
          <t>Canadá</t>
        </is>
      </c>
      <c r="B12" s="8" t="inlineStr">
        <is>
          <t>B</t>
        </is>
      </c>
      <c r="C12" s="8" t="n">
        <v>30</v>
      </c>
      <c r="D12" s="11" t="n">
        <v>1</v>
      </c>
      <c r="E12" s="11" t="n">
        <v>1</v>
      </c>
      <c r="F12" s="11" t="n">
        <v>0</v>
      </c>
      <c r="G12" s="11" t="n">
        <v>0</v>
      </c>
      <c r="H12" s="11" t="n">
        <v>0</v>
      </c>
      <c r="I12" s="24" t="n">
        <v>0</v>
      </c>
    </row>
    <row r="13">
      <c r="A13" s="9" t="inlineStr">
        <is>
          <t>Bosnia y Herzegovina</t>
        </is>
      </c>
      <c r="B13" s="8" t="inlineStr">
        <is>
          <t>B</t>
        </is>
      </c>
      <c r="C13" s="8" t="n">
        <v>64</v>
      </c>
      <c r="D13" s="11" t="n">
        <v>1</v>
      </c>
      <c r="E13" s="11" t="n">
        <v>0</v>
      </c>
      <c r="F13" s="11" t="n">
        <v>0</v>
      </c>
      <c r="G13" s="11" t="n">
        <v>0</v>
      </c>
      <c r="H13" s="11" t="n">
        <v>0</v>
      </c>
      <c r="I13" s="24" t="n">
        <v>0</v>
      </c>
    </row>
    <row r="14">
      <c r="A14" s="9" t="inlineStr">
        <is>
          <t>Catar</t>
        </is>
      </c>
      <c r="B14" s="8" t="inlineStr">
        <is>
          <t>B</t>
        </is>
      </c>
      <c r="C14" s="8" t="n">
        <v>56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24" t="n">
        <v>0</v>
      </c>
    </row>
    <row r="15">
      <c r="A15" s="9" t="inlineStr">
        <is>
          <t>Suiza</t>
        </is>
      </c>
      <c r="B15" s="8" t="inlineStr">
        <is>
          <t>B</t>
        </is>
      </c>
      <c r="C15" s="8" t="n">
        <v>19</v>
      </c>
      <c r="D15" s="11" t="n">
        <v>1</v>
      </c>
      <c r="E15" s="11" t="n">
        <v>1</v>
      </c>
      <c r="F15" s="11" t="n">
        <v>1</v>
      </c>
      <c r="G15" s="11" t="n">
        <v>0</v>
      </c>
      <c r="H15" s="11" t="n">
        <v>0</v>
      </c>
      <c r="I15" s="24" t="n">
        <v>0</v>
      </c>
    </row>
    <row r="16">
      <c r="A16" s="9" t="inlineStr">
        <is>
          <t>Estados Unidos</t>
        </is>
      </c>
      <c r="B16" s="8" t="inlineStr">
        <is>
          <t>C</t>
        </is>
      </c>
      <c r="C16" s="8" t="n">
        <v>17</v>
      </c>
      <c r="D16" s="11" t="n">
        <v>1</v>
      </c>
      <c r="E16" s="11" t="n">
        <v>1</v>
      </c>
      <c r="F16" s="11" t="n">
        <v>0</v>
      </c>
      <c r="G16" s="11" t="n">
        <v>0</v>
      </c>
      <c r="H16" s="11" t="n">
        <v>0</v>
      </c>
      <c r="I16" s="24" t="n">
        <v>0</v>
      </c>
    </row>
    <row r="17">
      <c r="A17" s="9" t="inlineStr">
        <is>
          <t>Paraguay</t>
        </is>
      </c>
      <c r="B17" s="8" t="inlineStr">
        <is>
          <t>C</t>
        </is>
      </c>
      <c r="C17" s="8" t="n">
        <v>41</v>
      </c>
      <c r="D17" s="11" t="n">
        <v>1</v>
      </c>
      <c r="E17" s="11" t="n">
        <v>1</v>
      </c>
      <c r="F17" s="11" t="n">
        <v>0</v>
      </c>
      <c r="G17" s="11" t="n">
        <v>0</v>
      </c>
      <c r="H17" s="11" t="n">
        <v>0</v>
      </c>
      <c r="I17" s="24" t="n">
        <v>0</v>
      </c>
    </row>
    <row r="18">
      <c r="A18" s="9" t="inlineStr">
        <is>
          <t>Australia</t>
        </is>
      </c>
      <c r="B18" s="8" t="inlineStr">
        <is>
          <t>C</t>
        </is>
      </c>
      <c r="C18" s="8" t="n">
        <v>27</v>
      </c>
      <c r="D18" s="11" t="n">
        <v>1</v>
      </c>
      <c r="E18" s="11" t="n">
        <v>0</v>
      </c>
      <c r="F18" s="11" t="n">
        <v>0</v>
      </c>
      <c r="G18" s="11" t="n">
        <v>0</v>
      </c>
      <c r="H18" s="11" t="n">
        <v>0</v>
      </c>
      <c r="I18" s="24" t="n">
        <v>0</v>
      </c>
    </row>
    <row r="19">
      <c r="A19" s="9" t="inlineStr">
        <is>
          <t>Turquía</t>
        </is>
      </c>
      <c r="B19" s="8" t="inlineStr">
        <is>
          <t>C</t>
        </is>
      </c>
      <c r="C19" s="8" t="n">
        <v>22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24" t="n">
        <v>0</v>
      </c>
    </row>
    <row r="20">
      <c r="A20" s="9" t="inlineStr">
        <is>
          <t>Brasil</t>
        </is>
      </c>
      <c r="B20" s="8" t="inlineStr">
        <is>
          <t>D</t>
        </is>
      </c>
      <c r="C20" s="8" t="n">
        <v>6</v>
      </c>
      <c r="D20" s="11" t="n">
        <v>1</v>
      </c>
      <c r="E20" s="11" t="n">
        <v>1</v>
      </c>
      <c r="F20" s="11" t="n">
        <v>0</v>
      </c>
      <c r="G20" s="11" t="n">
        <v>0</v>
      </c>
      <c r="H20" s="11" t="n">
        <v>0</v>
      </c>
      <c r="I20" s="24" t="n">
        <v>0</v>
      </c>
    </row>
    <row r="21">
      <c r="A21" s="9" t="inlineStr">
        <is>
          <t>Marruecos</t>
        </is>
      </c>
      <c r="B21" s="8" t="inlineStr">
        <is>
          <t>D</t>
        </is>
      </c>
      <c r="C21" s="8" t="n">
        <v>7</v>
      </c>
      <c r="D21" s="11" t="n">
        <v>1</v>
      </c>
      <c r="E21" s="11" t="n">
        <v>1</v>
      </c>
      <c r="F21" s="11" t="n">
        <v>1</v>
      </c>
      <c r="G21" s="11" t="n">
        <v>0</v>
      </c>
      <c r="H21" s="11" t="n">
        <v>0</v>
      </c>
      <c r="I21" s="24" t="n">
        <v>0</v>
      </c>
    </row>
    <row r="22">
      <c r="A22" s="9" t="inlineStr">
        <is>
          <t>Haití</t>
        </is>
      </c>
      <c r="B22" s="8" t="inlineStr">
        <is>
          <t>D</t>
        </is>
      </c>
      <c r="C22" s="8" t="n">
        <v>83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24" t="n">
        <v>0</v>
      </c>
    </row>
    <row r="23">
      <c r="A23" s="9" t="inlineStr">
        <is>
          <t>Escocia</t>
        </is>
      </c>
      <c r="B23" s="8" t="inlineStr">
        <is>
          <t>D</t>
        </is>
      </c>
      <c r="C23" s="8" t="n">
        <v>42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24" t="n">
        <v>0</v>
      </c>
    </row>
    <row r="24">
      <c r="A24" s="9" t="inlineStr">
        <is>
          <t>Alemania</t>
        </is>
      </c>
      <c r="B24" s="8" t="inlineStr">
        <is>
          <t>E</t>
        </is>
      </c>
      <c r="C24" s="8" t="n">
        <v>10</v>
      </c>
      <c r="D24" s="11" t="n">
        <v>1</v>
      </c>
      <c r="E24" s="11" t="n">
        <v>0</v>
      </c>
      <c r="F24" s="11" t="n">
        <v>0</v>
      </c>
      <c r="G24" s="11" t="n">
        <v>0</v>
      </c>
      <c r="H24" s="11" t="n">
        <v>0</v>
      </c>
      <c r="I24" s="24" t="n">
        <v>0</v>
      </c>
    </row>
    <row r="25">
      <c r="A25" s="9" t="inlineStr">
        <is>
          <t>Curazao</t>
        </is>
      </c>
      <c r="B25" s="8" t="inlineStr">
        <is>
          <t>E</t>
        </is>
      </c>
      <c r="C25" s="8" t="n">
        <v>82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24" t="n">
        <v>0</v>
      </c>
    </row>
    <row r="26">
      <c r="A26" s="9" t="inlineStr">
        <is>
          <t>Costa de Marfil</t>
        </is>
      </c>
      <c r="B26" s="8" t="inlineStr">
        <is>
          <t>E</t>
        </is>
      </c>
      <c r="C26" s="8" t="n">
        <v>33</v>
      </c>
      <c r="D26" s="11" t="n">
        <v>1</v>
      </c>
      <c r="E26" s="11" t="n">
        <v>0</v>
      </c>
      <c r="F26" s="11" t="n">
        <v>0</v>
      </c>
      <c r="G26" s="11" t="n">
        <v>0</v>
      </c>
      <c r="H26" s="11" t="n">
        <v>0</v>
      </c>
      <c r="I26" s="24" t="n">
        <v>0</v>
      </c>
    </row>
    <row r="27">
      <c r="A27" s="9" t="inlineStr">
        <is>
          <t>Ecuador</t>
        </is>
      </c>
      <c r="B27" s="8" t="inlineStr">
        <is>
          <t>E</t>
        </is>
      </c>
      <c r="C27" s="8" t="n">
        <v>23</v>
      </c>
      <c r="D27" s="11" t="n">
        <v>1</v>
      </c>
      <c r="E27" s="11" t="n">
        <v>0</v>
      </c>
      <c r="F27" s="11" t="n">
        <v>0</v>
      </c>
      <c r="G27" s="11" t="n">
        <v>0</v>
      </c>
      <c r="H27" s="11" t="n">
        <v>0</v>
      </c>
      <c r="I27" s="24" t="n">
        <v>0</v>
      </c>
    </row>
    <row r="28">
      <c r="A28" s="9" t="inlineStr">
        <is>
          <t>Países Bajos</t>
        </is>
      </c>
      <c r="B28" s="8" t="inlineStr">
        <is>
          <t>F</t>
        </is>
      </c>
      <c r="C28" s="8" t="n">
        <v>8</v>
      </c>
      <c r="D28" s="11" t="n">
        <v>1</v>
      </c>
      <c r="E28" s="11" t="n">
        <v>0</v>
      </c>
      <c r="F28" s="11" t="n">
        <v>0</v>
      </c>
      <c r="G28" s="11" t="n">
        <v>0</v>
      </c>
      <c r="H28" s="11" t="n">
        <v>0</v>
      </c>
      <c r="I28" s="24" t="n">
        <v>0</v>
      </c>
    </row>
    <row r="29">
      <c r="A29" s="9" t="inlineStr">
        <is>
          <t>Japón</t>
        </is>
      </c>
      <c r="B29" s="8" t="inlineStr">
        <is>
          <t>F</t>
        </is>
      </c>
      <c r="C29" s="8" t="n">
        <v>18</v>
      </c>
      <c r="D29" s="11" t="n">
        <v>1</v>
      </c>
      <c r="E29" s="11" t="n">
        <v>0</v>
      </c>
      <c r="F29" s="11" t="n">
        <v>0</v>
      </c>
      <c r="G29" s="11" t="n">
        <v>0</v>
      </c>
      <c r="H29" s="11" t="n">
        <v>0</v>
      </c>
      <c r="I29" s="24" t="n">
        <v>0</v>
      </c>
    </row>
    <row r="30">
      <c r="A30" s="9" t="inlineStr">
        <is>
          <t>Suecia</t>
        </is>
      </c>
      <c r="B30" s="8" t="inlineStr">
        <is>
          <t>F</t>
        </is>
      </c>
      <c r="C30" s="8" t="n">
        <v>38</v>
      </c>
      <c r="D30" s="11" t="n">
        <v>1</v>
      </c>
      <c r="E30" s="11" t="n">
        <v>0</v>
      </c>
      <c r="F30" s="11" t="n">
        <v>0</v>
      </c>
      <c r="G30" s="11" t="n">
        <v>0</v>
      </c>
      <c r="H30" s="11" t="n">
        <v>0</v>
      </c>
      <c r="I30" s="24" t="n">
        <v>0</v>
      </c>
    </row>
    <row r="31">
      <c r="A31" s="9" t="inlineStr">
        <is>
          <t>Túnez</t>
        </is>
      </c>
      <c r="B31" s="8" t="inlineStr">
        <is>
          <t>F</t>
        </is>
      </c>
      <c r="C31" s="8" t="n">
        <v>45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24" t="n">
        <v>0</v>
      </c>
    </row>
    <row r="32">
      <c r="A32" s="9" t="inlineStr">
        <is>
          <t>Arabia Saudita</t>
        </is>
      </c>
      <c r="B32" s="8" t="inlineStr">
        <is>
          <t>G</t>
        </is>
      </c>
      <c r="C32" s="8" t="n">
        <v>61</v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24" t="n">
        <v>0</v>
      </c>
    </row>
    <row r="33">
      <c r="A33" s="9" t="inlineStr">
        <is>
          <t>Uruguay</t>
        </is>
      </c>
      <c r="B33" s="8" t="inlineStr">
        <is>
          <t>G</t>
        </is>
      </c>
      <c r="C33" s="8" t="n">
        <v>16</v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24" t="n">
        <v>0</v>
      </c>
    </row>
    <row r="34">
      <c r="A34" s="9" t="inlineStr">
        <is>
          <t>Cabo Verde</t>
        </is>
      </c>
      <c r="B34" s="8" t="inlineStr">
        <is>
          <t>G</t>
        </is>
      </c>
      <c r="C34" s="8" t="n">
        <v>67</v>
      </c>
      <c r="D34" s="11" t="n">
        <v>1</v>
      </c>
      <c r="E34" s="11" t="n">
        <v>0</v>
      </c>
      <c r="F34" s="11" t="n">
        <v>0</v>
      </c>
      <c r="G34" s="11" t="n">
        <v>0</v>
      </c>
      <c r="H34" s="11" t="n">
        <v>0</v>
      </c>
      <c r="I34" s="24" t="n">
        <v>0</v>
      </c>
    </row>
    <row r="35">
      <c r="A35" s="9" t="inlineStr">
        <is>
          <t>Bélgica</t>
        </is>
      </c>
      <c r="B35" s="8" t="inlineStr">
        <is>
          <t>H</t>
        </is>
      </c>
      <c r="C35" s="8" t="n">
        <v>9</v>
      </c>
      <c r="D35" s="11" t="n">
        <v>1</v>
      </c>
      <c r="E35" s="11" t="n">
        <v>1</v>
      </c>
      <c r="F35" s="11" t="n">
        <v>1</v>
      </c>
      <c r="G35" s="11" t="n">
        <v>0</v>
      </c>
      <c r="H35" s="11" t="n">
        <v>0</v>
      </c>
      <c r="I35" s="24" t="n">
        <v>0</v>
      </c>
    </row>
    <row r="36">
      <c r="A36" s="9" t="inlineStr">
        <is>
          <t>Egipto</t>
        </is>
      </c>
      <c r="B36" s="8" t="inlineStr">
        <is>
          <t>H</t>
        </is>
      </c>
      <c r="C36" s="8" t="n">
        <v>29</v>
      </c>
      <c r="D36" s="11" t="n">
        <v>1</v>
      </c>
      <c r="E36" s="11" t="n">
        <v>1</v>
      </c>
      <c r="F36" s="11" t="n">
        <v>0</v>
      </c>
      <c r="G36" s="11" t="n">
        <v>0</v>
      </c>
      <c r="H36" s="11" t="n">
        <v>0</v>
      </c>
      <c r="I36" s="24" t="n">
        <v>0</v>
      </c>
    </row>
    <row r="37">
      <c r="A37" s="9" t="inlineStr">
        <is>
          <t>Irán</t>
        </is>
      </c>
      <c r="B37" s="8" t="inlineStr">
        <is>
          <t>H</t>
        </is>
      </c>
      <c r="C37" s="8" t="n">
        <v>20</v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24" t="n">
        <v>0</v>
      </c>
    </row>
    <row r="38">
      <c r="A38" s="9" t="inlineStr">
        <is>
          <t>Nueva Zelanda</t>
        </is>
      </c>
      <c r="B38" s="8" t="inlineStr">
        <is>
          <t>H</t>
        </is>
      </c>
      <c r="C38" s="8" t="n">
        <v>85</v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</v>
      </c>
      <c r="I38" s="24" t="n">
        <v>0</v>
      </c>
    </row>
    <row r="39">
      <c r="A39" s="9" t="inlineStr">
        <is>
          <t>Senegal</t>
        </is>
      </c>
      <c r="B39" s="8" t="inlineStr">
        <is>
          <t>I</t>
        </is>
      </c>
      <c r="C39" s="8" t="n">
        <v>15</v>
      </c>
      <c r="D39" s="11" t="n">
        <v>1</v>
      </c>
      <c r="E39" s="11" t="n">
        <v>0</v>
      </c>
      <c r="F39" s="11" t="n">
        <v>0</v>
      </c>
      <c r="G39" s="11" t="n">
        <v>0</v>
      </c>
      <c r="H39" s="11" t="n">
        <v>0</v>
      </c>
      <c r="I39" s="24" t="n">
        <v>0</v>
      </c>
    </row>
    <row r="40">
      <c r="A40" s="9" t="inlineStr">
        <is>
          <t>Irak</t>
        </is>
      </c>
      <c r="B40" s="8" t="inlineStr">
        <is>
          <t>I</t>
        </is>
      </c>
      <c r="C40" s="8" t="n">
        <v>57</v>
      </c>
      <c r="D40" s="11" t="n">
        <v>0</v>
      </c>
      <c r="E40" s="11" t="n">
        <v>0</v>
      </c>
      <c r="F40" s="11" t="n">
        <v>0</v>
      </c>
      <c r="G40" s="11" t="n">
        <v>0</v>
      </c>
      <c r="H40" s="11" t="n">
        <v>0</v>
      </c>
      <c r="I40" s="24" t="n">
        <v>0</v>
      </c>
    </row>
    <row r="41">
      <c r="A41" s="9" t="inlineStr">
        <is>
          <t>Noruega</t>
        </is>
      </c>
      <c r="B41" s="8" t="inlineStr">
        <is>
          <t>I</t>
        </is>
      </c>
      <c r="C41" s="8" t="n">
        <v>31</v>
      </c>
      <c r="D41" s="11" t="n">
        <v>1</v>
      </c>
      <c r="E41" s="11" t="n">
        <v>1</v>
      </c>
      <c r="F41" s="11" t="n">
        <v>1</v>
      </c>
      <c r="G41" s="11" t="n">
        <v>0</v>
      </c>
      <c r="H41" s="11" t="n">
        <v>0</v>
      </c>
      <c r="I41" s="24" t="n">
        <v>0</v>
      </c>
    </row>
    <row r="42">
      <c r="A42" s="9" t="inlineStr">
        <is>
          <t>Croacia</t>
        </is>
      </c>
      <c r="B42" s="8" t="inlineStr">
        <is>
          <t>J</t>
        </is>
      </c>
      <c r="C42" s="8" t="n">
        <v>11</v>
      </c>
      <c r="D42" s="11" t="n">
        <v>1</v>
      </c>
      <c r="E42" s="11" t="n">
        <v>0</v>
      </c>
      <c r="F42" s="11" t="n">
        <v>0</v>
      </c>
      <c r="G42" s="11" t="n">
        <v>0</v>
      </c>
      <c r="H42" s="11" t="n">
        <v>0</v>
      </c>
      <c r="I42" s="24" t="n">
        <v>0</v>
      </c>
    </row>
    <row r="43">
      <c r="A43" s="9" t="inlineStr">
        <is>
          <t>Ghana</t>
        </is>
      </c>
      <c r="B43" s="8" t="inlineStr">
        <is>
          <t>J</t>
        </is>
      </c>
      <c r="C43" s="8" t="n">
        <v>73</v>
      </c>
      <c r="D43" s="11" t="n">
        <v>1</v>
      </c>
      <c r="E43" s="11" t="n">
        <v>0</v>
      </c>
      <c r="F43" s="11" t="n">
        <v>0</v>
      </c>
      <c r="G43" s="11" t="n">
        <v>0</v>
      </c>
      <c r="H43" s="11" t="n">
        <v>0</v>
      </c>
      <c r="I43" s="24" t="n">
        <v>0</v>
      </c>
    </row>
    <row r="44">
      <c r="A44" s="9" t="inlineStr">
        <is>
          <t>Panamá</t>
        </is>
      </c>
      <c r="B44" s="8" t="inlineStr">
        <is>
          <t>J</t>
        </is>
      </c>
      <c r="C44" s="8" t="n">
        <v>34</v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24" t="n">
        <v>0</v>
      </c>
    </row>
    <row r="45">
      <c r="A45" s="9" t="inlineStr">
        <is>
          <t>Portugal</t>
        </is>
      </c>
      <c r="B45" s="8" t="inlineStr">
        <is>
          <t>K</t>
        </is>
      </c>
      <c r="C45" s="8" t="n">
        <v>5</v>
      </c>
      <c r="D45" s="11" t="n">
        <v>1</v>
      </c>
      <c r="E45" s="11" t="n">
        <v>1</v>
      </c>
      <c r="F45" s="11" t="n">
        <v>0</v>
      </c>
      <c r="G45" s="11" t="n">
        <v>0</v>
      </c>
      <c r="H45" s="11" t="n">
        <v>0</v>
      </c>
      <c r="I45" s="24" t="n">
        <v>0</v>
      </c>
    </row>
    <row r="46">
      <c r="A46" s="9" t="inlineStr">
        <is>
          <t>RD Congo</t>
        </is>
      </c>
      <c r="B46" s="8" t="inlineStr">
        <is>
          <t>K</t>
        </is>
      </c>
      <c r="C46" s="8" t="n">
        <v>46</v>
      </c>
      <c r="D46" s="11" t="n">
        <v>1</v>
      </c>
      <c r="E46" s="11" t="n">
        <v>0</v>
      </c>
      <c r="F46" s="11" t="n">
        <v>0</v>
      </c>
      <c r="G46" s="11" t="n">
        <v>0</v>
      </c>
      <c r="H46" s="11" t="n">
        <v>0</v>
      </c>
      <c r="I46" s="24" t="n">
        <v>0</v>
      </c>
    </row>
    <row r="47">
      <c r="A47" s="9" t="inlineStr">
        <is>
          <t>Uzbekistán</t>
        </is>
      </c>
      <c r="B47" s="8" t="inlineStr">
        <is>
          <t>K</t>
        </is>
      </c>
      <c r="C47" s="8" t="n">
        <v>50</v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</v>
      </c>
      <c r="I47" s="24" t="n">
        <v>0</v>
      </c>
    </row>
    <row r="48">
      <c r="A48" s="9" t="inlineStr">
        <is>
          <t>Colombia</t>
        </is>
      </c>
      <c r="B48" s="8" t="inlineStr">
        <is>
          <t>K</t>
        </is>
      </c>
      <c r="C48" s="8" t="n">
        <v>13</v>
      </c>
      <c r="D48" s="11" t="n">
        <v>1</v>
      </c>
      <c r="E48" s="11" t="n">
        <v>1</v>
      </c>
      <c r="F48" s="11" t="n">
        <v>0</v>
      </c>
      <c r="G48" s="11" t="n">
        <v>0</v>
      </c>
      <c r="H48" s="11" t="n">
        <v>0</v>
      </c>
      <c r="I48" s="24" t="n">
        <v>0</v>
      </c>
    </row>
    <row r="49">
      <c r="A49" s="9" t="inlineStr">
        <is>
          <t>Argelia</t>
        </is>
      </c>
      <c r="B49" s="8" t="inlineStr">
        <is>
          <t>L</t>
        </is>
      </c>
      <c r="C49" s="8" t="n">
        <v>28</v>
      </c>
      <c r="D49" s="11" t="n">
        <v>1</v>
      </c>
      <c r="E49" s="11" t="n">
        <v>0</v>
      </c>
      <c r="F49" s="11" t="n">
        <v>0</v>
      </c>
      <c r="G49" s="11" t="n">
        <v>0</v>
      </c>
      <c r="H49" s="11" t="n">
        <v>0</v>
      </c>
      <c r="I49" s="24" t="n">
        <v>0</v>
      </c>
    </row>
    <row r="50">
      <c r="A50" s="9" t="inlineStr">
        <is>
          <t>Austria</t>
        </is>
      </c>
      <c r="B50" s="8" t="inlineStr">
        <is>
          <t>L</t>
        </is>
      </c>
      <c r="C50" s="8" t="n">
        <v>24</v>
      </c>
      <c r="D50" s="11" t="n">
        <v>1</v>
      </c>
      <c r="E50" s="11" t="n">
        <v>0</v>
      </c>
      <c r="F50" s="11" t="n">
        <v>0</v>
      </c>
      <c r="G50" s="11" t="n">
        <v>0</v>
      </c>
      <c r="H50" s="11" t="n">
        <v>0</v>
      </c>
      <c r="I50" s="24" t="n">
        <v>0</v>
      </c>
    </row>
    <row r="51">
      <c r="A51" s="9" t="inlineStr">
        <is>
          <t>Jordania</t>
        </is>
      </c>
      <c r="B51" s="8" t="inlineStr">
        <is>
          <t>L</t>
        </is>
      </c>
      <c r="C51" s="8" t="n">
        <v>63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24" t="n">
        <v>0</v>
      </c>
    </row>
  </sheetData>
  <autoFilter ref="A3:I51"/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</cols>
  <sheetData>
    <row r="1">
      <c r="A1" s="6" t="inlineStr">
        <is>
          <t>Probabilidad de ser campeón — modelo (con xG) + mercado (cuotas)</t>
        </is>
      </c>
    </row>
    <row r="2">
      <c r="A2" s="25" t="inlineStr">
        <is>
          <t>Mezcla 70% mercado / 30% modelo. Modelo = simulación condicionada a resultados reales y xG. Mercado = cuotas de campeón al 16 jun, sin margen de la casa.</t>
        </is>
      </c>
    </row>
    <row r="3">
      <c r="A3" s="7" t="inlineStr">
        <is>
          <t>Selección</t>
        </is>
      </c>
      <c r="B3" s="7" t="inlineStr">
        <is>
          <t>Modelo</t>
        </is>
      </c>
      <c r="C3" s="7" t="inlineStr">
        <is>
          <t>Mercado</t>
        </is>
      </c>
      <c r="D3" s="7" t="inlineStr">
        <is>
          <t>Mezcla</t>
        </is>
      </c>
    </row>
    <row r="4">
      <c r="A4" s="26" t="inlineStr">
        <is>
          <t>Francia</t>
        </is>
      </c>
      <c r="B4" s="27" t="n">
        <v>0.323</v>
      </c>
      <c r="C4" s="27" t="n">
        <v>0.433</v>
      </c>
      <c r="D4" s="17" t="n">
        <v>0.411</v>
      </c>
    </row>
    <row r="5">
      <c r="A5" s="26" t="inlineStr">
        <is>
          <t>España</t>
        </is>
      </c>
      <c r="B5" s="27" t="n">
        <v>0.293</v>
      </c>
      <c r="C5" s="27" t="n">
        <v>0.199</v>
      </c>
      <c r="D5" s="17" t="n">
        <v>0.218</v>
      </c>
    </row>
    <row r="6">
      <c r="A6" s="26" t="inlineStr">
        <is>
          <t>Argentina</t>
        </is>
      </c>
      <c r="B6" s="27" t="n">
        <v>0.263</v>
      </c>
      <c r="C6" s="27" t="n">
        <v>0.196</v>
      </c>
      <c r="D6" s="17" t="n">
        <v>0.209</v>
      </c>
    </row>
    <row r="7">
      <c r="A7" s="26" t="inlineStr">
        <is>
          <t>Inglaterra</t>
        </is>
      </c>
      <c r="B7" s="27" t="n">
        <v>0.121</v>
      </c>
      <c r="C7" s="27" t="n">
        <v>0.172</v>
      </c>
      <c r="D7" s="17" t="n">
        <v>0.162</v>
      </c>
    </row>
    <row r="8">
      <c r="A8" s="26" t="inlineStr">
        <is>
          <t>México</t>
        </is>
      </c>
      <c r="B8" s="27" t="n">
        <v>0</v>
      </c>
      <c r="C8" s="27" t="n">
        <v>0</v>
      </c>
      <c r="D8" s="27" t="n">
        <v>0</v>
      </c>
    </row>
    <row r="9">
      <c r="A9" s="26" t="inlineStr">
        <is>
          <t>Sudáfrica</t>
        </is>
      </c>
      <c r="B9" s="27" t="n">
        <v>0</v>
      </c>
      <c r="C9" s="27" t="n">
        <v>0</v>
      </c>
      <c r="D9" s="27" t="n">
        <v>0</v>
      </c>
    </row>
    <row r="10">
      <c r="A10" s="26" t="inlineStr">
        <is>
          <t>Corea del Sur</t>
        </is>
      </c>
      <c r="B10" s="27" t="n">
        <v>0</v>
      </c>
      <c r="C10" s="27" t="n">
        <v>0</v>
      </c>
      <c r="D10" s="27" t="n">
        <v>0</v>
      </c>
    </row>
    <row r="11">
      <c r="A11" s="26" t="inlineStr">
        <is>
          <t>República Checa</t>
        </is>
      </c>
      <c r="B11" s="27" t="n">
        <v>0</v>
      </c>
      <c r="C11" s="27" t="n">
        <v>0</v>
      </c>
      <c r="D11" s="27" t="n">
        <v>0</v>
      </c>
    </row>
    <row r="12">
      <c r="A12" s="26" t="inlineStr">
        <is>
          <t>Canadá</t>
        </is>
      </c>
      <c r="B12" s="27" t="n">
        <v>0</v>
      </c>
      <c r="C12" s="27" t="n">
        <v>0</v>
      </c>
      <c r="D12" s="27" t="n">
        <v>0</v>
      </c>
    </row>
    <row r="13">
      <c r="A13" s="26" t="inlineStr">
        <is>
          <t>Bosnia y Herzegovina</t>
        </is>
      </c>
      <c r="B13" s="27" t="n">
        <v>0</v>
      </c>
      <c r="C13" s="27" t="n">
        <v>0</v>
      </c>
      <c r="D13" s="27" t="n">
        <v>0</v>
      </c>
    </row>
    <row r="14">
      <c r="A14" s="26" t="inlineStr">
        <is>
          <t>Catar</t>
        </is>
      </c>
      <c r="B14" s="27" t="n">
        <v>0</v>
      </c>
      <c r="C14" s="27" t="n">
        <v>0</v>
      </c>
      <c r="D14" s="27" t="n">
        <v>0</v>
      </c>
    </row>
    <row r="15">
      <c r="A15" s="26" t="inlineStr">
        <is>
          <t>Suiza</t>
        </is>
      </c>
      <c r="B15" s="27" t="n">
        <v>0</v>
      </c>
      <c r="C15" s="27" t="n">
        <v>0</v>
      </c>
      <c r="D15" s="27" t="n">
        <v>0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4" customWidth="1" min="4" max="4"/>
  </cols>
  <sheetData>
    <row r="1">
      <c r="A1" s="6" t="inlineStr">
        <is>
          <t>Proyección del cuadro — de octavos a la final (avanza el favorito del modelo)</t>
        </is>
      </c>
    </row>
    <row r="2" ht="42" customHeight="1">
      <c r="A2" s="28" t="inlineStr">
        <is>
          <t>Ruta más probable partido a partido a partir del cuadro de dieciseisavos: en cada llave avanza el equipo con mayor probabilidad según el modelo (condicionado a los resultados reales al 16 jun). El equipo que avanza va en verde. Es un escenario único; su probabilidad conjunta es baja.</t>
        </is>
      </c>
    </row>
    <row r="4">
      <c r="A4" s="29" t="inlineStr">
        <is>
          <t>Octavos de final</t>
        </is>
      </c>
    </row>
    <row r="5">
      <c r="A5" s="7" t="inlineStr">
        <is>
          <t>Partido</t>
        </is>
      </c>
      <c r="B5" s="7" t="inlineStr">
        <is>
          <t>Equipo 1</t>
        </is>
      </c>
      <c r="C5" s="7" t="inlineStr">
        <is>
          <t>Equipo 2</t>
        </is>
      </c>
      <c r="D5" s="7" t="inlineStr">
        <is>
          <t>Sede</t>
        </is>
      </c>
    </row>
    <row r="6">
      <c r="A6" s="8" t="inlineStr">
        <is>
          <t>M89</t>
        </is>
      </c>
      <c r="B6" s="9" t="inlineStr">
        <is>
          <t>Canadá</t>
        </is>
      </c>
      <c r="C6" s="10" t="inlineStr">
        <is>
          <t>Marruecos</t>
        </is>
      </c>
      <c r="D6" s="9" t="inlineStr">
        <is>
          <t>4 jul · NRG Stadium, Houston</t>
        </is>
      </c>
    </row>
    <row r="7">
      <c r="A7" s="8" t="inlineStr">
        <is>
          <t>M90</t>
        </is>
      </c>
      <c r="B7" s="9" t="inlineStr">
        <is>
          <t>Paraguay</t>
        </is>
      </c>
      <c r="C7" s="10" t="inlineStr">
        <is>
          <t>Francia</t>
        </is>
      </c>
      <c r="D7" s="9" t="inlineStr">
        <is>
          <t>4 jul · Lincoln Financial Field, Filadelfia</t>
        </is>
      </c>
    </row>
    <row r="8">
      <c r="A8" s="8" t="inlineStr">
        <is>
          <t>M91</t>
        </is>
      </c>
      <c r="B8" s="10" t="inlineStr">
        <is>
          <t>Noruega</t>
        </is>
      </c>
      <c r="C8" s="9" t="inlineStr">
        <is>
          <t>Brasil</t>
        </is>
      </c>
      <c r="D8" s="9" t="inlineStr">
        <is>
          <t>5 jul · MetLife, Nueva York/NJ</t>
        </is>
      </c>
    </row>
    <row r="9">
      <c r="A9" s="8" t="inlineStr">
        <is>
          <t>M92</t>
        </is>
      </c>
      <c r="B9" s="10" t="inlineStr">
        <is>
          <t>Inglaterra</t>
        </is>
      </c>
      <c r="C9" s="9" t="inlineStr">
        <is>
          <t>México</t>
        </is>
      </c>
      <c r="D9" s="9" t="inlineStr">
        <is>
          <t>5 jul · Estadio Azteca, Ciudad de México</t>
        </is>
      </c>
    </row>
    <row r="10">
      <c r="A10" s="8" t="inlineStr">
        <is>
          <t>M93</t>
        </is>
      </c>
      <c r="B10" s="9" t="inlineStr">
        <is>
          <t>Estados Unidos</t>
        </is>
      </c>
      <c r="C10" s="10" t="inlineStr">
        <is>
          <t>Bélgica</t>
        </is>
      </c>
      <c r="D10" s="9" t="inlineStr">
        <is>
          <t>6 jul · AT&amp;T Stadium, Dallas</t>
        </is>
      </c>
    </row>
    <row r="11">
      <c r="A11" s="8" t="inlineStr">
        <is>
          <t>M94</t>
        </is>
      </c>
      <c r="B11" s="10" t="inlineStr">
        <is>
          <t>España</t>
        </is>
      </c>
      <c r="C11" s="9" t="inlineStr">
        <is>
          <t>Portugal</t>
        </is>
      </c>
      <c r="D11" s="9" t="inlineStr">
        <is>
          <t>6 jul · Lumen Field, Seattle</t>
        </is>
      </c>
    </row>
    <row r="12">
      <c r="A12" s="8" t="inlineStr">
        <is>
          <t>M95</t>
        </is>
      </c>
      <c r="B12" s="10" t="inlineStr">
        <is>
          <t>Suiza</t>
        </is>
      </c>
      <c r="C12" s="9" t="inlineStr">
        <is>
          <t>Colombia</t>
        </is>
      </c>
      <c r="D12" s="9" t="inlineStr">
        <is>
          <t>7 jul · Mercedes-Benz, Atlanta</t>
        </is>
      </c>
    </row>
    <row r="13">
      <c r="A13" s="8" t="inlineStr">
        <is>
          <t>M96</t>
        </is>
      </c>
      <c r="B13" s="9" t="inlineStr">
        <is>
          <t>Egipto</t>
        </is>
      </c>
      <c r="C13" s="10" t="inlineStr">
        <is>
          <t>Argentina</t>
        </is>
      </c>
      <c r="D13" s="9" t="inlineStr">
        <is>
          <t>7 jul · BC Place, Vancouver</t>
        </is>
      </c>
    </row>
    <row r="15">
      <c r="A15" s="29" t="inlineStr">
        <is>
          <t>Cuartos de final</t>
        </is>
      </c>
    </row>
    <row r="16">
      <c r="A16" s="7" t="inlineStr">
        <is>
          <t>Partido</t>
        </is>
      </c>
      <c r="B16" s="7" t="inlineStr">
        <is>
          <t>Equipo 1</t>
        </is>
      </c>
      <c r="C16" s="7" t="inlineStr">
        <is>
          <t>Equipo 2</t>
        </is>
      </c>
      <c r="D16" s="7" t="inlineStr">
        <is>
          <t>Sede</t>
        </is>
      </c>
    </row>
    <row r="17">
      <c r="A17" s="8" t="inlineStr">
        <is>
          <t>M97</t>
        </is>
      </c>
      <c r="B17" s="9" t="inlineStr">
        <is>
          <t>Marruecos</t>
        </is>
      </c>
      <c r="C17" s="10" t="inlineStr">
        <is>
          <t>Francia</t>
        </is>
      </c>
      <c r="D17" s="9" t="inlineStr">
        <is>
          <t>9 jul 14:00h · Gillette Stadium, Boston</t>
        </is>
      </c>
    </row>
    <row r="18">
      <c r="A18" s="8" t="inlineStr">
        <is>
          <t>M98</t>
        </is>
      </c>
      <c r="B18" s="9" t="inlineStr">
        <is>
          <t>Noruega</t>
        </is>
      </c>
      <c r="C18" s="10" t="inlineStr">
        <is>
          <t>Inglaterra</t>
        </is>
      </c>
      <c r="D18" s="9" t="inlineStr">
        <is>
          <t>10 jul 13:00h · SoFi Stadium, Los Ángeles</t>
        </is>
      </c>
    </row>
    <row r="19">
      <c r="A19" s="8" t="inlineStr">
        <is>
          <t>M99</t>
        </is>
      </c>
      <c r="B19" s="9" t="inlineStr">
        <is>
          <t>Bélgica</t>
        </is>
      </c>
      <c r="C19" s="10" t="inlineStr">
        <is>
          <t>España</t>
        </is>
      </c>
      <c r="D19" s="9" t="inlineStr">
        <is>
          <t>11 jul 15:00h · Hard Rock Stadium, Miami</t>
        </is>
      </c>
    </row>
    <row r="20">
      <c r="A20" s="8" t="inlineStr">
        <is>
          <t>M100</t>
        </is>
      </c>
      <c r="B20" s="9" t="inlineStr">
        <is>
          <t>Suiza</t>
        </is>
      </c>
      <c r="C20" s="10" t="inlineStr">
        <is>
          <t>Argentina</t>
        </is>
      </c>
      <c r="D20" s="9" t="inlineStr">
        <is>
          <t>11 jul 19:00h · Arrowhead Stadium, Kansas City</t>
        </is>
      </c>
    </row>
    <row r="22">
      <c r="A22" s="29" t="inlineStr">
        <is>
          <t>Semifinales</t>
        </is>
      </c>
    </row>
    <row r="23">
      <c r="A23" s="7" t="inlineStr">
        <is>
          <t>Partido</t>
        </is>
      </c>
      <c r="B23" s="7" t="inlineStr">
        <is>
          <t>Equipo 1</t>
        </is>
      </c>
      <c r="C23" s="7" t="inlineStr">
        <is>
          <t>Equipo 2</t>
        </is>
      </c>
      <c r="D23" s="7" t="inlineStr">
        <is>
          <t>Sede</t>
        </is>
      </c>
    </row>
    <row r="24">
      <c r="A24" s="8" t="inlineStr">
        <is>
          <t>M101</t>
        </is>
      </c>
      <c r="B24" s="10" t="inlineStr">
        <is>
          <t>Francia</t>
        </is>
      </c>
      <c r="C24" s="9" t="inlineStr">
        <is>
          <t>España</t>
        </is>
      </c>
      <c r="D24" s="9" t="inlineStr">
        <is>
          <t>14 jul 13:00h · AT&amp;T Stadium, Dallas</t>
        </is>
      </c>
    </row>
    <row r="25">
      <c r="A25" s="8" t="inlineStr">
        <is>
          <t>M102</t>
        </is>
      </c>
      <c r="B25" s="9" t="inlineStr">
        <is>
          <t>Inglaterra</t>
        </is>
      </c>
      <c r="C25" s="10" t="inlineStr">
        <is>
          <t>Argentina</t>
        </is>
      </c>
      <c r="D25" s="9" t="inlineStr">
        <is>
          <t>15 jul 13:00h · Mercedes-Benz, Atlanta</t>
        </is>
      </c>
    </row>
    <row r="27">
      <c r="A27" s="29" t="inlineStr">
        <is>
          <t>Final</t>
        </is>
      </c>
    </row>
    <row r="28">
      <c r="A28" s="7" t="inlineStr">
        <is>
          <t>Partido</t>
        </is>
      </c>
      <c r="B28" s="7" t="inlineStr">
        <is>
          <t>Equipo 1</t>
        </is>
      </c>
      <c r="C28" s="7" t="inlineStr">
        <is>
          <t>Equipo 2</t>
        </is>
      </c>
      <c r="D28" s="7" t="inlineStr">
        <is>
          <t>Sede</t>
        </is>
      </c>
    </row>
    <row r="29">
      <c r="A29" s="8" t="inlineStr">
        <is>
          <t>M104</t>
        </is>
      </c>
      <c r="B29" s="10" t="inlineStr">
        <is>
          <t>Francia</t>
        </is>
      </c>
      <c r="C29" s="9" t="inlineStr">
        <is>
          <t>Argentina</t>
        </is>
      </c>
      <c r="D29" s="9" t="inlineStr">
        <is>
          <t>19 jul 13:00h · MetLife, Nueva York/NJ</t>
        </is>
      </c>
    </row>
    <row r="31">
      <c r="A31" s="29" t="inlineStr">
        <is>
          <t>Tercer lugar</t>
        </is>
      </c>
    </row>
    <row r="32">
      <c r="A32" s="7" t="inlineStr">
        <is>
          <t>Partido</t>
        </is>
      </c>
      <c r="B32" s="7" t="inlineStr">
        <is>
          <t>Equipo 1</t>
        </is>
      </c>
      <c r="C32" s="7" t="inlineStr">
        <is>
          <t>Equipo 2</t>
        </is>
      </c>
      <c r="D32" s="7" t="inlineStr">
        <is>
          <t>Sede</t>
        </is>
      </c>
    </row>
    <row r="33">
      <c r="A33" s="8" t="inlineStr">
        <is>
          <t>—</t>
        </is>
      </c>
      <c r="B33" s="10" t="inlineStr">
        <is>
          <t>España</t>
        </is>
      </c>
      <c r="C33" s="9" t="inlineStr">
        <is>
          <t>Inglaterra</t>
        </is>
      </c>
      <c r="D33" s="9" t="inlineStr">
        <is>
          <t>18 jul 15:00h · Hard Rock Stadium, Miami</t>
        </is>
      </c>
    </row>
    <row r="35">
      <c r="A35" s="30" t="inlineStr">
        <is>
          <t>CAMPEÓN PROYECTADO: Francia  (32% en la simulación)</t>
        </is>
      </c>
    </row>
  </sheetData>
  <mergeCells count="3">
    <mergeCell ref="A1:D1"/>
    <mergeCell ref="A35:D35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2026-10-16T17:46:32Z</dcterms:created>
  <dcterms:modified xsi:type="dcterms:W3CDTF">2026-10-16T17:46:32Z</dcterms:modified>
</cp:coreProperties>
</file>